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Dashboard" sheetId="1" r:id="rId5"/>
    <sheet state="visible" name="users" sheetId="2" r:id="rId6"/>
    <sheet state="visible" name="fiat_transactions" sheetId="3" r:id="rId7"/>
    <sheet state="visible" name="crypto_transactions" sheetId="4" r:id="rId8"/>
    <sheet state="visible" name="exchange_rates" sheetId="5" r:id="rId9"/>
    <sheet state="visible" name="expected_fiat_result" sheetId="6" r:id="rId10"/>
    <sheet state="visible" name="expected_crypto_result" sheetId="7" r:id="rId11"/>
    <sheet state="visible" name="data_rules" sheetId="8" r:id="rId12"/>
    <sheet state="visible" name="qa_result" sheetId="9" r:id="rId13"/>
    <sheet state="visible" name="fix_log" sheetId="10" r:id="rId14"/>
    <sheet state="visible" name="_backup_20260924_111845" sheetId="11" r:id="rId15"/>
  </sheets>
  <definedNames/>
  <calcPr/>
</workbook>
</file>

<file path=xl/sharedStrings.xml><?xml version="1.0" encoding="utf-8"?>
<sst xmlns="http://schemas.openxmlformats.org/spreadsheetml/2006/main" count="1218" uniqueCount="537">
  <si>
    <t>交易所资金流向与业务风控全局决策看板 (Executive Funds Flow &amp; Risk Monitor)</t>
  </si>
  <si>
    <t>看板数据层 · 月度出入金与净流入序列 (Monthly Flow Aggregation)</t>
  </si>
  <si>
    <t>监控周期: 2024Q4 - 2025Q4 | 质检状态: 🟢 核心规则全部合规 (17/17 QA Checks Passed) | 预警等级: ⚠️ 发现冻结用户出金与网络挂起风险</t>
  </si>
  <si>
    <t>月份 (Month)</t>
  </si>
  <si>
    <t>充值入金 (Deposit)</t>
  </si>
  <si>
    <t>提现出金 (Withdrawal)</t>
  </si>
  <si>
    <t>净沉淀额 (Net Inflow)</t>
  </si>
  <si>
    <t>法币核心总流水 (USD GMV)</t>
  </si>
  <si>
    <t>链上核心总流水 (USDT GMV)</t>
  </si>
  <si>
    <t>全局订单履约成功率</t>
  </si>
  <si>
    <t>法币核心净沉淀 (USD Net Inflow)</t>
  </si>
  <si>
    <t>充值 $76,000 | 提现 $28,270</t>
  </si>
  <si>
    <t>💵 多币种出入金与流动性分析 (Fiat &amp; Crypto Liquidity Net Flow)</t>
  </si>
  <si>
    <t>⚡ 结算通道与公链网络稳定性监控 (Channel &amp; Network Reliability)</t>
  </si>
  <si>
    <t>资产 / 币种</t>
  </si>
  <si>
    <t>资产类别</t>
  </si>
  <si>
    <t>净流动量 (Net Flow)</t>
  </si>
  <si>
    <t>净流动状态</t>
  </si>
  <si>
    <t>通道 / 网络</t>
  </si>
  <si>
    <t>业务类型</t>
  </si>
  <si>
    <t>总订单数</t>
  </si>
  <si>
    <t>成功履约率</t>
  </si>
  <si>
    <t>异常/挂起率</t>
  </si>
  <si>
    <t>手续费创收</t>
  </si>
  <si>
    <t>USD</t>
  </si>
  <si>
    <t>法币 (Fiat)</t>
  </si>
  <si>
    <t>wire_transfer</t>
  </si>
  <si>
    <t>法币大额电汇</t>
  </si>
  <si>
    <t>EUR</t>
  </si>
  <si>
    <t>ach</t>
  </si>
  <si>
    <t>法币小额清算</t>
  </si>
  <si>
    <t>GBP</t>
  </si>
  <si>
    <t>sepa_instant</t>
  </si>
  <si>
    <t>欧洲即时汇款</t>
  </si>
  <si>
    <t>BRL</t>
  </si>
  <si>
    <t>faster_payments</t>
  </si>
  <si>
    <t>英国极速到账</t>
  </si>
  <si>
    <t>TRY</t>
  </si>
  <si>
    <t>TRON</t>
  </si>
  <si>
    <t>链上 TRC-20</t>
  </si>
  <si>
    <t>USDT</t>
  </si>
  <si>
    <t>加密货币 (Crypto)</t>
  </si>
  <si>
    <t>ETHEREUM</t>
  </si>
  <si>
    <t>以太坊 ERC-20</t>
  </si>
  <si>
    <t>BTC</t>
  </si>
  <si>
    <t>BSC</t>
  </si>
  <si>
    <t>币安智能链 BEP-20</t>
  </si>
  <si>
    <t>看板数据层 · 主流公链 USDT 资金流向分布 (Network USDT Distribution)</t>
  </si>
  <si>
    <t>ETH</t>
  </si>
  <si>
    <t>ARBITRUM</t>
  </si>
  <si>
    <t>以太坊 Layer-2</t>
  </si>
  <si>
    <t>公链网络 (Network)</t>
  </si>
  <si>
    <t>净沉淀量 (Net Flow)</t>
  </si>
  <si>
    <t>📈 月度资金出入与净沉淀趋势 (Monthly Flow &amp; Net Retention Dynamics)</t>
  </si>
  <si>
    <t>🌐 主流公链 USDT 流入与流出对比 (USDT Network Distribution &amp; Net Flow)</t>
  </si>
  <si>
    <t>看板数据层 · 用户资金多币种统一折算 (User Unified Flow in USDT)</t>
  </si>
  <si>
    <t>UID</t>
  </si>
  <si>
    <t>用户姓名 (User)</t>
  </si>
  <si>
    <t>国家 (Country)</t>
  </si>
  <si>
    <t>KYC 等级</t>
  </si>
  <si>
    <t>充值入金折算 (USDT)</t>
  </si>
  <si>
    <t>提现出金折算 (USDT)</t>
  </si>
  <si>
    <t>净流动额 (USDT)</t>
  </si>
  <si>
    <t>账户状态 (Status)</t>
  </si>
  <si>
    <t>🚨 核心合规与账户风控处置矩阵 (Compliance &amp; AML Incident Matrix)</t>
  </si>
  <si>
    <t>⚠️ 链上阻塞与清算挂起处置矩阵 (On-Chain &amp; Clearing Exceptions Matrix)</t>
  </si>
  <si>
    <t>风险等级</t>
  </si>
  <si>
    <t>涉案用户</t>
  </si>
  <si>
    <t>关联订单号</t>
  </si>
  <si>
    <t>涉及金额</t>
  </si>
  <si>
    <t>违规成因 / 诊断</t>
  </si>
  <si>
    <t>运营处置与跟进动作</t>
  </si>
  <si>
    <t>异常类型</t>
  </si>
  <si>
    <t>涉及网络/通道</t>
  </si>
  <si>
    <t>技术根因 / 诊断</t>
  </si>
  <si>
    <t>处置建议与恢复动作</t>
  </si>
  <si>
    <t>🔴 严重拦截失效</t>
  </si>
  <si>
    <t>Irene Jung</t>
  </si>
  <si>
    <t>fo_20250920_50284719</t>
  </si>
  <si>
    <t>$800.00 USD</t>
  </si>
  <si>
    <t>【冻结账户出金】用户处于 frozen 状态，ACH 仍放行 $800 出金</t>
  </si>
  <si>
    <t>立即冻结下游清算通道，排查网关拦截切面，追索未到账资金</t>
  </si>
  <si>
    <t>🟠 广播卡单</t>
  </si>
  <si>
    <t>co_20251220_90317464</t>
  </si>
  <si>
    <t>250.00 USDT</t>
  </si>
  <si>
    <t>【TxHash 为空】提现 processing 且确认数 0</t>
  </si>
  <si>
    <t>核查 L2 节点 RPC 状态，执行重广播或人工退回冲正</t>
  </si>
  <si>
    <t>合计 (Total)</t>
  </si>
  <si>
    <t>10 户全量</t>
  </si>
  <si>
    <t>fo_20251025_50284720</t>
  </si>
  <si>
    <t>$20.00 USD</t>
  </si>
  <si>
    <t>【二次渗透出金】同用户再次成功渗透出金 $20</t>
  </si>
  <si>
    <t>紧急注销该用户 API 密钥，升级前置拦截中间件与限额熔断</t>
  </si>
  <si>
    <t>🟡 确认中延迟</t>
  </si>
  <si>
    <t>co_20250801_69248133</t>
  </si>
  <si>
    <t>500.00 USDT</t>
  </si>
  <si>
    <t>【确认数滞后】充值处于 confirming (5/15 确认)</t>
  </si>
  <si>
    <t>持续监控 BSC 主网出块，达标后自动触发充值上账</t>
  </si>
  <si>
    <t>🟡 准入合规排查</t>
  </si>
  <si>
    <t>Jonas Weber</t>
  </si>
  <si>
    <t>无在途订单</t>
  </si>
  <si>
    <t>€0.00 EUR</t>
  </si>
  <si>
    <t>【准入风控】KYC Level 0 挂起中</t>
  </si>
  <si>
    <t>限制账户充提与交易功能，催促用户提交实名认证材料以防死账</t>
  </si>
  <si>
    <t>🟡 大额电汇在途</t>
  </si>
  <si>
    <t>fo_20250720_61590240</t>
  </si>
  <si>
    <t>$10,000.00 USD</t>
  </si>
  <si>
    <t>【Swift 结算在途】Bob Miller 大额电汇 pending</t>
  </si>
  <si>
    <t>专人向结算行索取 MT103 凭证，核实推进资金入账</t>
  </si>
  <si>
    <t>🟢 规则校验合规</t>
  </si>
  <si>
    <t>全局风控引擎</t>
  </si>
  <si>
    <t>17/17 QA Passed</t>
  </si>
  <si>
    <t>--</t>
  </si>
  <si>
    <t>【质检基线】全量交易与余额对账规则 100% 验证通过</t>
  </si>
  <si>
    <t>保持实时风控旁路监听，持续监控高频出金异动</t>
  </si>
  <si>
    <t>🔴 链上广播失败</t>
  </si>
  <si>
    <t>co_20251201_69248134</t>
  </si>
  <si>
    <t>300.00 USDT</t>
  </si>
  <si>
    <t>【节点广播超时】提现订单 failed，TxHash 未生成</t>
  </si>
  <si>
    <t>执行资金解冻并返还用户主账户，提醒用户重新发起</t>
  </si>
  <si>
    <t>👥 用户 KYC 认证等级资金分布穿透 (Capital Distribution by KYC Level)</t>
  </si>
  <si>
    <t>🌍 国家与地区资金流动穿透 (Cross-Border Capital Flow by Country/Region)</t>
  </si>
  <si>
    <t>KYC 认证等级</t>
  </si>
  <si>
    <t>用户数 (Users)</t>
  </si>
  <si>
    <t>充值入金 (USDT)</t>
  </si>
  <si>
    <t>提现出金 (USDT)</t>
  </si>
  <si>
    <t>资金沉淀率 (Retention)</t>
  </si>
  <si>
    <t>国家 / 地区</t>
  </si>
  <si>
    <t>核心币种</t>
  </si>
  <si>
    <t>流动状态 (Flow Status)</t>
  </si>
  <si>
    <t>KYC Level 0 (待认证)</t>
  </si>
  <si>
    <t>🇺🇸 US (美国)</t>
  </si>
  <si>
    <t>KYC Level 1 (初级认证)</t>
  </si>
  <si>
    <t>🇦🇪 AE (阿联酋)</t>
  </si>
  <si>
    <t>KYC Level 2 (标准认证)</t>
  </si>
  <si>
    <t>🇫🇷 FR (法国)</t>
  </si>
  <si>
    <t>KYC Level 3 (高级认证)</t>
  </si>
  <si>
    <t>🇩🇪 DE (德国)</t>
  </si>
  <si>
    <t>🇬🇧 GB (英国)</t>
  </si>
  <si>
    <t>💡 风控洞察</t>
  </si>
  <si>
    <t>Level 3 高级用户贡献 80.0% 净沉淀额 ($53.8k)，为交易所核心资金支柱</t>
  </si>
  <si>
    <t>🇧🇷 BR (巴西)</t>
  </si>
  <si>
    <t>⚠️ 重点警示</t>
  </si>
  <si>
    <t>Level 2 标准用户中包含已冻结账户 Irene Jung，发生越权渗透出金 $820</t>
  </si>
  <si>
    <t>🇯🇵 JP (日本)</t>
  </si>
  <si>
    <t>🛡️ 处置建议</t>
  </si>
  <si>
    <t>针对 Level 0 (Jonas Weber) 阻断提现并催告认证；加固出金网关拦截切面</t>
  </si>
  <si>
    <t>🇹🇷 TR (土耳其)</t>
  </si>
  <si>
    <t>🟢 审计基线</t>
  </si>
  <si>
    <t>全量交易与余额对账规则 100% 验证通过 (CHK_REC_01 / CHK_REC_02)</t>
  </si>
  <si>
    <t>🇰🇷 KR (韩国)</t>
  </si>
  <si>
    <t>全域基线</t>
  </si>
  <si>
    <t>全量 10 户画像及资金对账 100% 吻合 | 核心流动性充足</t>
  </si>
  <si>
    <t>多币种</t>
  </si>
  <si>
    <t>🟢 全局净流入</t>
  </si>
  <si>
    <t>uid</t>
  </si>
  <si>
    <t>user_name</t>
  </si>
  <si>
    <t>country_code</t>
  </si>
  <si>
    <t>base_fiat_currency</t>
  </si>
  <si>
    <t>kyc_level</t>
  </si>
  <si>
    <t>account_status</t>
  </si>
  <si>
    <t>created_at</t>
  </si>
  <si>
    <t>784231905</t>
  </si>
  <si>
    <t>Alice Chen</t>
  </si>
  <si>
    <t>DE</t>
  </si>
  <si>
    <t>active</t>
  </si>
  <si>
    <t>615902374</t>
  </si>
  <si>
    <t>Bob Miller</t>
  </si>
  <si>
    <t>US</t>
  </si>
  <si>
    <t>903174628</t>
  </si>
  <si>
    <t>Charlie Tanaka</t>
  </si>
  <si>
    <t>JP</t>
  </si>
  <si>
    <t>528406193</t>
  </si>
  <si>
    <t>David Smith</t>
  </si>
  <si>
    <t>GB</t>
  </si>
  <si>
    <t>846219537</t>
  </si>
  <si>
    <t>Elena Rostova</t>
  </si>
  <si>
    <t>FR</t>
  </si>
  <si>
    <t>692481305</t>
  </si>
  <si>
    <t>Fatimah Al-Sayed</t>
  </si>
  <si>
    <t>AE</t>
  </si>
  <si>
    <t>438750921</t>
  </si>
  <si>
    <t>Gabriel Garcia</t>
  </si>
  <si>
    <t>BR</t>
  </si>
  <si>
    <t>319582046</t>
  </si>
  <si>
    <t>Hakan Yilmaz</t>
  </si>
  <si>
    <t>TR</t>
  </si>
  <si>
    <t>502847193</t>
  </si>
  <si>
    <t>KR</t>
  </si>
  <si>
    <t>frozen</t>
  </si>
  <si>
    <t>219485730</t>
  </si>
  <si>
    <t>pending_kyc</t>
  </si>
  <si>
    <t>fiat_order_id</t>
  </si>
  <si>
    <t>direction</t>
  </si>
  <si>
    <t>currency</t>
  </si>
  <si>
    <t>amount</t>
  </si>
  <si>
    <t>fee</t>
  </si>
  <si>
    <t>channel</t>
  </si>
  <si>
    <t>status</t>
  </si>
  <si>
    <t>completed_at</t>
  </si>
  <si>
    <t>fo_20250110_78423190</t>
  </si>
  <si>
    <t>deposit</t>
  </si>
  <si>
    <t>completed</t>
  </si>
  <si>
    <t>fo_20250220_78423191</t>
  </si>
  <si>
    <t>withdrawal</t>
  </si>
  <si>
    <t>fo_20250315_78423192</t>
  </si>
  <si>
    <t>sepa_credit</t>
  </si>
  <si>
    <t>fo_20250410_78423193</t>
  </si>
  <si>
    <t>failed</t>
  </si>
  <si>
    <t>fo_20250112_61590237</t>
  </si>
  <si>
    <t>fo_20250214_61590238</t>
  </si>
  <si>
    <t>fo_20250618_61590239</t>
  </si>
  <si>
    <t>pending</t>
  </si>
  <si>
    <t>fo_20250308_90317462</t>
  </si>
  <si>
    <t>fo_20250415_90317463</t>
  </si>
  <si>
    <t>fo_20250502_90317464</t>
  </si>
  <si>
    <t>cancelled</t>
  </si>
  <si>
    <t>fo_20250418_52840619</t>
  </si>
  <si>
    <t>fo_20250525_52840620</t>
  </si>
  <si>
    <t>fo_20250810_52840621</t>
  </si>
  <si>
    <t>fo_20250912_52840622</t>
  </si>
  <si>
    <t>processing</t>
  </si>
  <si>
    <t>fo_20250520_84621953</t>
  </si>
  <si>
    <t>fo_20250711_84621954</t>
  </si>
  <si>
    <t>fo_20250605_69248130</t>
  </si>
  <si>
    <t>fo_20250915_69248131</t>
  </si>
  <si>
    <t>fo_20241231_43875092</t>
  </si>
  <si>
    <t>pix</t>
  </si>
  <si>
    <t>fo_20250101_43875093</t>
  </si>
  <si>
    <t>fo_20250901_31958204</t>
  </si>
  <si>
    <t>papara</t>
  </si>
  <si>
    <t>fo_20251010_31958205</t>
  </si>
  <si>
    <t>crypto_order_id</t>
  </si>
  <si>
    <t>asset</t>
  </si>
  <si>
    <t>network</t>
  </si>
  <si>
    <t>tx_hash</t>
  </si>
  <si>
    <t>address</t>
  </si>
  <si>
    <t>confirmations</t>
  </si>
  <si>
    <t>co_20250110_78423190</t>
  </si>
  <si>
    <t>63dd1029e5ca5cf984c2ed338bcba077d3efff2b5d25c543d129490e2588a375</t>
  </si>
  <si>
    <t>TZTs2kMxqhLKQUqAiRBqgv1EbiBPk7w2UB</t>
  </si>
  <si>
    <t>co_20250222_78423191</t>
  </si>
  <si>
    <t>0e641a560a1d663bc5dbc993d5e46d584a2f72554fb1109d97388c553bb651e2</t>
  </si>
  <si>
    <t>TBE1SbTMMmmgvA6RbYPBJxmSf2Ytz1xz9L</t>
  </si>
  <si>
    <t>co_20250605_78423192</t>
  </si>
  <si>
    <t>0x697857752aaa8607d1961ddfecb3ec44d9fd3cc4c45097ad44c9beff38b5f6a2</t>
  </si>
  <si>
    <t>0xc453f38ebdb4343a3242b060779e7531c69454bc</t>
  </si>
  <si>
    <t>co_20250320_61590237</t>
  </si>
  <si>
    <t>BITCOIN</t>
  </si>
  <si>
    <t>b39506e732fd1f7a288a1ff4338028b098dc9bb0eb37d9145e48440f70849bf5</t>
  </si>
  <si>
    <t>bc1q09h5eeyq6xkqfxz35sjdasv4r0uwu7sty56j3q</t>
  </si>
  <si>
    <t>co_20250801_61590238</t>
  </si>
  <si>
    <t>3aad3f0cdb66295a3bd2cc2a65eb900b3d1662a4388bbf093fb4593da315fad8</t>
  </si>
  <si>
    <t>bc1q3glu088led8nf7j4puhy6sj4x63tfz0vypclkn</t>
  </si>
  <si>
    <t>co_20250815_61590239</t>
  </si>
  <si>
    <t>0xa19ab825bc70785a4762c5d0704d338de601f635364658929267aa7365da4400</t>
  </si>
  <si>
    <t>0x6e0a0adb598ac01b4a24cca74747862290c52668</t>
  </si>
  <si>
    <t>co_20250212_90317462</t>
  </si>
  <si>
    <t>0xb933b56829a298cdc0afd793e79c16011ac1fb6fa5fa00ffe25f4e971e59dfbd</t>
  </si>
  <si>
    <t>0xdc3487818cfda4ea4a05c495791f680aecf9d8b3</t>
  </si>
  <si>
    <t>co_20250902_90317463</t>
  </si>
  <si>
    <t>0xea0f2bd3d9dc5ed8def5298f1c68cbe8782ec64d7e6815d0c7e018d73345af38</t>
  </si>
  <si>
    <t>0x4413ae3344245ba4bd12d2b473b9c642132ce2e5</t>
  </si>
  <si>
    <t>0x3b13a19c9377fe05031c01098a19ac18966a548f</t>
  </si>
  <si>
    <t>co_20250407_52840619</t>
  </si>
  <si>
    <t>0x76dee5dcb35703c649a43288fc14e2cf692bc9821031877df211823bd509e148</t>
  </si>
  <si>
    <t>0x49d045820e74c6588e1a0c26757aaef2476c22ff</t>
  </si>
  <si>
    <t>co_20250420_52840620</t>
  </si>
  <si>
    <t>e1bd98dde29c160c154b642a90fc3cc5fa29ffd2da05c2fa35d35fb8bee1e5a3</t>
  </si>
  <si>
    <t>TBGKnRW9K5wiLmhUDSLsUXJuK5ETvC83xM</t>
  </si>
  <si>
    <t>co_20251111_52840621</t>
  </si>
  <si>
    <t>b0b316bd299eee088bcdf1ae9328dd1c899294f77a63ab6a4887817e91c53ed3</t>
  </si>
  <si>
    <t>TMn9NxEKnutzexB6W3kKLbfzsLuRw9ocut</t>
  </si>
  <si>
    <t>co_20250105_84621953</t>
  </si>
  <si>
    <t>0x0d28c056661be39b220f2c211e59a5ee51db5186d5ab9629d69ee2cc89d6dfb0</t>
  </si>
  <si>
    <t>0x099c0e97614fd374d7e546dc2fcbdd52df00224a</t>
  </si>
  <si>
    <t>co_20250505_84621954</t>
  </si>
  <si>
    <t>0xea497e8d88ee3ee055bd364c2e146246bb96deb5dc86f9c5505c3b292eb85b80</t>
  </si>
  <si>
    <t>0x41108ae1113dc504a0f34c39d731ac814c343b9b</t>
  </si>
  <si>
    <t>co_20251010_84621955</t>
  </si>
  <si>
    <t>6417aedbf3a07badbd672209b43886240cf096b9015d44cc53ca179b33577279</t>
  </si>
  <si>
    <t>TSEdPbLdvpu7xY9sKwGuRPLpU5BuaCqjza</t>
  </si>
  <si>
    <t>co_20250107_69248130</t>
  </si>
  <si>
    <t>360e42a95096a44553f9b6ac51a889d7355a8a472968bbc6865573e9ced82456</t>
  </si>
  <si>
    <t>TzSQmX1NuEsYWRaskDpkqVxaUtRMQ3Hrqf</t>
  </si>
  <si>
    <t>co_20250318_69248131</t>
  </si>
  <si>
    <t>d62970a686c4901f7776dd175ff0053d1af520e991121a082a88f51bcdde9637</t>
  </si>
  <si>
    <t>TdwuvV9ytQqruGcwsJcaR2SHdztSJAfztM</t>
  </si>
  <si>
    <t>co_20250709_69248132</t>
  </si>
  <si>
    <t>b811a6d96346cb2407724c1b86fac4357b0bb24a64938fff77c0214f00389e0b</t>
  </si>
  <si>
    <t>bc1q76tcqtgmgd0gdw7v0ujpnt4w929j8kc5kznj9e</t>
  </si>
  <si>
    <t>0x33aeea111548a4bef60d04849b6326c2562a08a7de68b0f248e8e3f9de93af63</t>
  </si>
  <si>
    <t>0x29c14b9b9823aa3754bc21f9c4dfbe252491d85e</t>
  </si>
  <si>
    <t>confirming</t>
  </si>
  <si>
    <t>0xe0b6b8387d822451eca3c2173d974ef5bf2c6fbb</t>
  </si>
  <si>
    <t>co_20241231_43875092</t>
  </si>
  <si>
    <t>233ee1f098f65a8b6832253005919d0086745c9ec55a04c7c4f8fd1b01b46b52</t>
  </si>
  <si>
    <t>TvcdwQMYE3CJ1uBT2jN5cSfNmwwyGz4syK</t>
  </si>
  <si>
    <t>co_20250101_43875093</t>
  </si>
  <si>
    <t>a604c6354367ee9df63fa4a8e4c9ac51a954ea3e2b9bf929c991345fcd6c4fc8</t>
  </si>
  <si>
    <t>T9gb744yUqjdkiaJCGLnugKmjXSsUpCb4r</t>
  </si>
  <si>
    <t>co_20251229_43875094</t>
  </si>
  <si>
    <t>7d0161907f296b3ab768712f56095ba777ac7536d241896d3a7b53fbaaa460b6</t>
  </si>
  <si>
    <t>Tvtb4VirWCMnbBktzqaCvboDmo9rSzo7nh</t>
  </si>
  <si>
    <t>co_20251231_43875095</t>
  </si>
  <si>
    <t>219361f01e2a7c60f65ca604af06a392872684ff230241b3823a9540e645df54</t>
  </si>
  <si>
    <t>TVSzNFcdNHjGcWNzbVi7movAKU9vDEUg3J</t>
  </si>
  <si>
    <t>co_20251105_31958204</t>
  </si>
  <si>
    <t>e48440f70849bf5b39506e732fd1f7a288a1ff4338028b098dc9bb0eb37d9145</t>
  </si>
  <si>
    <t>bc1q9d846392019485720192847291048572019283</t>
  </si>
  <si>
    <t>asset_name</t>
  </si>
  <si>
    <t>asset_type</t>
  </si>
  <si>
    <t>quote_currency</t>
  </si>
  <si>
    <t>rate_to_usdt</t>
  </si>
  <si>
    <t>usdt_to_asset_rate</t>
  </si>
  <si>
    <t>effective_date</t>
  </si>
  <si>
    <t>source</t>
  </si>
  <si>
    <t>Tether USD</t>
  </si>
  <si>
    <t>Crypto</t>
  </si>
  <si>
    <t>1:1 Pegged Baseline</t>
  </si>
  <si>
    <t>Bitcoin</t>
  </si>
  <si>
    <t>Binance / CoinGecko Benchmark</t>
  </si>
  <si>
    <t>Ethereum</t>
  </si>
  <si>
    <t>US Dollar</t>
  </si>
  <si>
    <t>Fiat</t>
  </si>
  <si>
    <t>ECB / Federal Reserve Benchmark</t>
  </si>
  <si>
    <t>Euro</t>
  </si>
  <si>
    <t>ECB Reference Rate</t>
  </si>
  <si>
    <t>British Pound</t>
  </si>
  <si>
    <t>Bank of England Reference Rate</t>
  </si>
  <si>
    <t>Brazilian Real</t>
  </si>
  <si>
    <t>Central Bank of Brazil Benchmark</t>
  </si>
  <si>
    <t>Turkish Lira</t>
  </si>
  <si>
    <t>Central Bank of Turkey Benchmark</t>
  </si>
  <si>
    <t>deposit_amount</t>
  </si>
  <si>
    <t>withdrawal_amount</t>
  </si>
  <si>
    <t>net_amount</t>
  </si>
  <si>
    <t>rule_id</t>
  </si>
  <si>
    <t>table_name</t>
  </si>
  <si>
    <t>column_name</t>
  </si>
  <si>
    <t>data_type</t>
  </si>
  <si>
    <t>is_nullable</t>
  </si>
  <si>
    <t>is_unique</t>
  </si>
  <si>
    <t>allowed_values_or_pattern</t>
  </si>
  <si>
    <t>foreign_key</t>
  </si>
  <si>
    <t>business_rule_description</t>
  </si>
  <si>
    <t>R_USR_01</t>
  </si>
  <si>
    <t>users</t>
  </si>
  <si>
    <t>BIGINT</t>
  </si>
  <si>
    <t>NO</t>
  </si>
  <si>
    <t>YES</t>
  </si>
  <si>
    <t>^[1-9][0-9]{8}$</t>
  </si>
  <si>
    <t>PK</t>
  </si>
  <si>
    <t>用户表主键；必须为唯一的9位数字标识符。</t>
  </si>
  <si>
    <t>R_USR_02</t>
  </si>
  <si>
    <t>VARCHAR</t>
  </si>
  <si>
    <t>^[A-Za-z ]+$</t>
  </si>
  <si>
    <t>-</t>
  </si>
  <si>
    <t>账户持有人的法定全名。</t>
  </si>
  <si>
    <t>R_USR_03</t>
  </si>
  <si>
    <t>VARCHAR(2)</t>
  </si>
  <si>
    <t>ISO 3166-1 alpha-2 标准二字码（如 US, DE, JP, GB, FR, AE, BR, TR, KR）</t>
  </si>
  <si>
    <t>用户常住地国家/地区二字码（ISO 3166-1）。</t>
  </si>
  <si>
    <t>R_USR_04</t>
  </si>
  <si>
    <t>VARCHAR(3)</t>
  </si>
  <si>
    <t>EUR, USD, GBP, BRL, TRY</t>
  </si>
  <si>
    <t>与用户画像关联的主要本地法币币种。</t>
  </si>
  <si>
    <t>R_USR_05</t>
  </si>
  <si>
    <t>INTEGER</t>
  </si>
  <si>
    <t>0, 1, 2, 3</t>
  </si>
  <si>
    <t>合规身份认证等级（0=未认证，1=基础认证，2=中级认证，3=高级认证）。</t>
  </si>
  <si>
    <t>R_USR_06</t>
  </si>
  <si>
    <t>active, frozen, pending_kyc, closed</t>
  </si>
  <si>
    <t>用户账户的当前运营与合规状态。</t>
  </si>
  <si>
    <t>R_USR_07</t>
  </si>
  <si>
    <t>TIMESTAMP</t>
  </si>
  <si>
    <t>YYYY-MM-DD HH:MM:SS</t>
  </si>
  <si>
    <t>用户注册时间戳；必须早于该用户的任何交易时间戳。</t>
  </si>
  <si>
    <t>R_FIA_01</t>
  </si>
  <si>
    <t>fiat_transactions</t>
  </si>
  <si>
    <t>^fo_[0-9]{8}_[a-z0-9]{8}$</t>
  </si>
  <si>
    <t>法币交易表主键；以 fo_ 开头的固定20位唯一标识符。</t>
  </si>
  <si>
    <t>R_FIA_02</t>
  </si>
  <si>
    <t>users.uid</t>
  </si>
  <si>
    <t>外键关联有效用户；对应值必须存在于 users 表中。</t>
  </si>
  <si>
    <t>R_FIA_03</t>
  </si>
  <si>
    <t>deposit, withdrawal</t>
  </si>
  <si>
    <t>相对于交易所托管资金的资金流向（充值/提现）。</t>
  </si>
  <si>
    <t>R_FIA_04</t>
  </si>
  <si>
    <t>ISO 标准法币币种代码；严禁与加密货币资产混淆。</t>
  </si>
  <si>
    <t>R_FIA_05</t>
  </si>
  <si>
    <t>DECIMAL(18,2)</t>
  </si>
  <si>
    <t>&gt; 0</t>
  </si>
  <si>
    <t>交易票面金额；必须严格大于 0。</t>
  </si>
  <si>
    <t>R_FIA_06</t>
  </si>
  <si>
    <t>&gt;= 0</t>
  </si>
  <si>
    <t>支付网关或交易所收取的服务费；充值免费时为 0.00。</t>
  </si>
  <si>
    <t>R_FIA_07</t>
  </si>
  <si>
    <t>sepa_instant, sepa_credit, wire_transfer, ach, faster_payments, pix, papara</t>
  </si>
  <si>
    <t>合规批准的支付网关集成通道。</t>
  </si>
  <si>
    <t>R_FIA_08</t>
  </si>
  <si>
    <t>completed, pending, processing, failed, cancelled</t>
  </si>
  <si>
    <t>订单生命周期状态；仅 'completed'（已完成）订单计入预期净额汇总。</t>
  </si>
  <si>
    <t>R_FIA_09</t>
  </si>
  <si>
    <t>订单发起创建时间戳。</t>
  </si>
  <si>
    <t>R_FIA_10</t>
  </si>
  <si>
    <t>&gt;= created_at（未完成状态时为 NULL）</t>
  </si>
  <si>
    <t>结算完成时间戳；当 status='completed' 时必填，且必须严格 &gt;= created_at。</t>
  </si>
  <si>
    <t>R_CRY_01</t>
  </si>
  <si>
    <t>crypto_transactions</t>
  </si>
  <si>
    <t>^co_[0-9]{8}_[a-z0-9]{8}$</t>
  </si>
  <si>
    <t>链上转账表主键；以 co_ 开头的固定20位唯一标识符。</t>
  </si>
  <si>
    <t>R_CRY_02</t>
  </si>
  <si>
    <t>R_CRY_03</t>
  </si>
  <si>
    <t>相对于交易所钱包托管的资产流向（充值/提现）。</t>
  </si>
  <si>
    <t>R_CRY_04</t>
  </si>
  <si>
    <t>USDT, BTC, ETH</t>
  </si>
  <si>
    <t>数字资产代币符号。</t>
  </si>
  <si>
    <t>R_CRY_05</t>
  </si>
  <si>
    <t>TRON, ETHEREUM, BITCOIN, BSC, ARBITRUM</t>
  </si>
  <si>
    <t>承载指定资产的底层区块链主网协议。</t>
  </si>
  <si>
    <t>R_CRY_06</t>
  </si>
  <si>
    <t>DECIMAL(18,8)</t>
  </si>
  <si>
    <t>加密代币交易数量；必须严格大于 0，精度最高支持8位小数。</t>
  </si>
  <si>
    <t>R_CRY_07</t>
  </si>
  <si>
    <t>以对应资产计量的网络矿工费/Gas费（链上充值入账记为 0）。</t>
  </si>
  <si>
    <t>R_CRY_08</t>
  </si>
  <si>
    <t>区块链哈希格式（EVM 为 0x+64位十六进制，Tron/BTC 为 64位十六进制）</t>
  </si>
  <si>
    <t>链上交易哈希（TxHash）；当 status='completed' 时必填。</t>
  </si>
  <si>
    <t>R_CRY_09</t>
  </si>
  <si>
    <t>链上地址格式（0x..., T..., bc1q...）</t>
  </si>
  <si>
    <t>与对应主网格式匹配的目标提现地址或充值金库地址。</t>
  </si>
  <si>
    <t>R_CRY_10</t>
  </si>
  <si>
    <t>completed, confirming, processing, failed, cancelled</t>
  </si>
  <si>
    <t>转账生命周期状态；仅 'completed'（已完成）订单计入预期加密净额汇总。</t>
  </si>
  <si>
    <t>check_id</t>
  </si>
  <si>
    <t>check_type</t>
  </si>
  <si>
    <t>rule</t>
  </si>
  <si>
    <t>result</t>
  </si>
  <si>
    <t>affected_rows</t>
  </si>
  <si>
    <t>severity</t>
  </si>
  <si>
    <t>details</t>
  </si>
  <si>
    <t>CHK_SCH_01</t>
  </si>
  <si>
    <t>Schema Check</t>
  </si>
  <si>
    <t>校验必填列字段名完整性及下划线小写命名规范（snake_case）</t>
  </si>
  <si>
    <t>PASSED</t>
  </si>
  <si>
    <t>BLOCKER</t>
  </si>
  <si>
    <t>全部 7 个字段均存在且符合 lower_snake_case 规范。</t>
  </si>
  <si>
    <t>CHK_SCH_02</t>
  </si>
  <si>
    <t>全部 10 个字段均存在且符合 lower_snake_case 规范。</t>
  </si>
  <si>
    <t>CHK_SCH_03</t>
  </si>
  <si>
    <t>全部 13 个字段均存在且符合 lower_snake_case 规范。</t>
  </si>
  <si>
    <t>CHK_CMP_01</t>
  </si>
  <si>
    <t>Completeness Check</t>
  </si>
  <si>
    <t>校验非空列是否存在空值（NULL）或空白单元格</t>
  </si>
  <si>
    <t>CRITICAL</t>
  </si>
  <si>
    <t>在 uid、user_name、country_code、base_fiat_currency、kyc_level、account_status、created_at 中均未检测到空值（0 个空值）。</t>
  </si>
  <si>
    <t>CHK_CMP_02</t>
  </si>
  <si>
    <t>所有必填字段均无空值；completed_at 仅在非完成状态（non-completed）记录中允许为空。</t>
  </si>
  <si>
    <t>CHK_CMP_03</t>
  </si>
  <si>
    <t>所有必填字段均无空值；tx_hash 与 completed_at 仅在处理中或失败的转账中允许为空。</t>
  </si>
  <si>
    <t>CHK_UNI_01</t>
  </si>
  <si>
    <t>Uniqueness Check</t>
  </si>
  <si>
    <t>确保主键 uid 全局唯一无重复</t>
  </si>
  <si>
    <t>10 条记录包含 10 个唯一 UID，未发现重复主键。</t>
  </si>
  <si>
    <t>CHK_UNI_02</t>
  </si>
  <si>
    <t>确保主键 fiat_order_id 全局唯一无重复</t>
  </si>
  <si>
    <t>25 条记录包含 25 个唯一订单 ID，未发现重复主键。</t>
  </si>
  <si>
    <t>CHK_UNI_03</t>
  </si>
  <si>
    <t>确保主键 crypto_order_id 全局唯一无重复</t>
  </si>
  <si>
    <t>CHK_REF_01</t>
  </si>
  <si>
    <t>Referential Integrity</t>
  </si>
  <si>
    <t>校验外键 uid 是否均引用有效的 users.uid</t>
  </si>
  <si>
    <t>全部 25 条法币交易记录均成功关联 users 表中的现有用户画像。</t>
  </si>
  <si>
    <t>CHK_REF_02</t>
  </si>
  <si>
    <t>全部 25 条加密交易记录均成功关联 users 表中的现有用户画像。</t>
  </si>
  <si>
    <t>CHK_VAL_01</t>
  </si>
  <si>
    <t>Validity Check</t>
  </si>
  <si>
    <t>校验资金流向、币种、渠道、状态等枚举值合规性及交易金额为正数</t>
  </si>
  <si>
    <t>HIGH</t>
  </si>
  <si>
    <t>资金流向、状态与币种均完全符合数据规则，所有金额均严格大于 0。</t>
  </si>
  <si>
    <t>CHK_VAL_02</t>
  </si>
  <si>
    <t>校验币种、主网、地址、TxHash 格式规范及转账数量为正数</t>
  </si>
  <si>
    <t>所有主网与代币匹配均有效；地址和交易哈希语法均符合对应区块链协议规范。</t>
  </si>
  <si>
    <t>CHK_LOG_01</t>
  </si>
  <si>
    <t>Business Logic</t>
  </si>
  <si>
    <t>校验所有已完成订单的完成时间戳是否晚于或等于创建时间戳（completed_at &gt;= created_at）</t>
  </si>
  <si>
    <t>全部已完成法币订单均符合时间先后逻辑约束（completed_at &gt;= created_at）。</t>
  </si>
  <si>
    <t>CHK_LOG_02</t>
  </si>
  <si>
    <t>校验所有已完成转账的时间先后逻辑及确认数是否达到门槛要求</t>
  </si>
  <si>
    <t>所有已完成转账的区块确认数均达到所需阈值，且符合 completed_at &gt;= created_at。</t>
  </si>
  <si>
    <t>CHK_REC_01</t>
  </si>
  <si>
    <t>Reconciliation Check</t>
  </si>
  <si>
    <t>expected_fiat_result</t>
  </si>
  <si>
    <t>重新从 fiat_transactions 计算 SQL 聚合值并与基准对照表核对</t>
  </si>
  <si>
    <t>原始已完成交易汇总与 expected_fiat_result 基准表在全部 9 个用户-币种分组中达到 100% 完全匹配。</t>
  </si>
  <si>
    <t>CHK_REC_02</t>
  </si>
  <si>
    <t>expected_crypto_result</t>
  </si>
  <si>
    <t>重新从 crypto_transactions 计算 SQL 聚合值并与基准对照表核对</t>
  </si>
  <si>
    <t>原始已完成交易汇总与 expected_crypto_result 基准表在全部 14 个用户-资产-主网分组中达到 100% 完全匹配。</t>
  </si>
  <si>
    <t>fix_id</t>
  </si>
  <si>
    <t>issue_description</t>
  </si>
  <si>
    <t>root_cause</t>
  </si>
  <si>
    <t>affected_table_and_records</t>
  </si>
  <si>
    <t>corrective_action</t>
  </si>
  <si>
    <t>regression_status</t>
  </si>
  <si>
    <t>verified_by</t>
  </si>
  <si>
    <t>FIX_001</t>
  </si>
  <si>
    <t>历史架构中存在大写和带连字符的非标交易 ID</t>
  </si>
  <si>
    <t>历史数据表采用非统一 ID 规则，缺乏明确的业务域前缀</t>
  </si>
  <si>
    <t>fiat_transactions 与 crypto_transactions 表</t>
  </si>
  <si>
    <t>将所有法币订单 ID 统一标准化为 fo_YYYYMMDD_&lt;hex&gt;，加密订单 ID 统一为 co_YYYYMMDD_&lt;hex&gt;，强制实行固定长度与业务域隔离</t>
  </si>
  <si>
    <t>已通过 (PASSED)</t>
  </si>
  <si>
    <t>Automated QA (CHK_UNI_02, CHK_UNI_03)</t>
  </si>
  <si>
    <t>FIX_002</t>
  </si>
  <si>
    <t>跨币种混同估值汇总违规</t>
  </si>
  <si>
    <t>旧表将所有资产折算为估算的 amount_usdt_equiv，并在不同法币和加密货币之间直接混同累加</t>
  </si>
  <si>
    <t>onchain_transfers 表（amount_usdt_equiv 字段）</t>
  </si>
  <si>
    <t>彻底消除跨币种混合汇总；建立严格的多维聚合分区：法币按 uid + currency，加密货币按 uid + asset + network</t>
  </si>
  <si>
    <t>DuckDB SQL Benchmark Verification</t>
  </si>
  <si>
    <t>FIX_003</t>
  </si>
  <si>
    <t>资金流汇总统计中错误包含了非最终态交易</t>
  </si>
  <si>
    <t>处理中（pending/processing）的订单易被未添加状态过滤器的简单 SUM() 查询误计入</t>
  </si>
  <si>
    <t>在预期基准模型中强制执行严格的生命周期状态过滤（WHERE status = 'completed'），并补充明确的处理中与失败用例测试</t>
  </si>
  <si>
    <t>Automated QA (CHK_REC_01, CHK_REC_02)</t>
  </si>
  <si>
    <t>FIX_004</t>
  </si>
  <si>
    <t>区块链充值入账时的网络手续费扣减逻辑不一致</t>
  </si>
  <si>
    <t>从外部钱包充值时，接收方交易所不应在入账时扣除用户的 Gas 手续费</t>
  </si>
  <si>
    <t>crypto_transactions 表</t>
  </si>
  <si>
    <t>将所有充值记录的手续费归一化为 0.00；手续费仅在用户发起提现广播时严格计收</t>
  </si>
  <si>
    <t>Automated QA (CHK_VAL_02)</t>
  </si>
  <si>
    <t>FIX_005</t>
  </si>
  <si>
    <t>潜在的时间时序反转异常（结算时间早于订单创建时间）</t>
  </si>
  <si>
    <t>合成数据中无约束的时间戳生成逻辑可能导致 completed_at &lt; created_at</t>
  </si>
  <si>
    <t>部署严格的校验约束逻辑，确保所有历史记录中 completed_at &gt;= created_at 严格成立</t>
  </si>
  <si>
    <t>Automated QA (CHK_LOG_01, CHK_LOG_02)</t>
  </si>
  <si>
    <t>合计 /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</si>
</sst>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yyyy-mm"/>
    <numFmt numFmtId="165" formatCode="$#,##0"/>
    <numFmt numFmtId="166" formatCode="#,##0&quot; USDT&quot;"/>
    <numFmt numFmtId="167" formatCode="0.0%"/>
    <numFmt numFmtId="168" formatCode="+$#,##0"/>
    <numFmt numFmtId="169" formatCode="$#,##0.00"/>
    <numFmt numFmtId="170" formatCode="€#,##0.00"/>
    <numFmt numFmtId="171" formatCode="£#,##0.00"/>
    <numFmt numFmtId="172" formatCode="R$#,##0.00"/>
    <numFmt numFmtId="173" formatCode="₺#,##0.00"/>
    <numFmt numFmtId="174" formatCode="0.0000"/>
    <numFmt numFmtId="175" formatCode="yyyy-mm-dd hh:mm:ss"/>
    <numFmt numFmtId="176" formatCode="#,##0.00000000"/>
    <numFmt numFmtId="177" formatCode="#,##0.0000"/>
    <numFmt numFmtId="178" formatCode="#,##0.000000"/>
    <numFmt numFmtId="179" formatCode="yyyy-mm-dd"/>
    <numFmt numFmtId="180" formatCode="#,##0.00;(#,##0.00);&quot;-&quot;"/>
    <numFmt numFmtId="181" formatCode="#,##0.0000;(#,##0.0000);&quot;-&quot;"/>
    <numFmt numFmtId="182" formatCode="0.00000000"/>
    <numFmt numFmtId="183" formatCode="+$#,##0;-$#,##0;$0"/>
  </numFmts>
  <fonts count="26">
    <font>
      <sz val="11.0"/>
      <color rgb="FF000000"/>
      <name val="Carlito"/>
      <scheme val="minor"/>
    </font>
    <font>
      <b/>
      <sz val="14.0"/>
      <color rgb="FFFFFFFF"/>
      <name val="Google Sans"/>
    </font>
    <font>
      <b/>
      <sz val="10.0"/>
      <color rgb="FFFFFFFF"/>
      <name val="Google Sans"/>
    </font>
    <font>
      <sz val="10.0"/>
      <color rgb="FF334154"/>
      <name val="Roboto"/>
    </font>
    <font>
      <color theme="1"/>
      <name val="Carlito"/>
      <scheme val="minor"/>
    </font>
    <font>
      <b/>
      <sz val="10.0"/>
      <color rgb="FF46546A"/>
      <name val="Roboto"/>
    </font>
    <font/>
    <font>
      <b/>
      <sz val="16.0"/>
      <color rgb="FF143366"/>
      <name val="Google Sans"/>
    </font>
    <font>
      <b/>
      <sz val="16.0"/>
      <color rgb="FF0C5959"/>
      <name val="Google Sans"/>
    </font>
    <font>
      <b/>
      <sz val="16.0"/>
      <color rgb="FF16723F"/>
      <name val="Google Sans"/>
    </font>
    <font>
      <b/>
      <sz val="16.0"/>
      <color rgb="FF145999"/>
      <name val="Google Sans"/>
    </font>
    <font>
      <sz val="9.0"/>
      <color rgb="FF63748A"/>
      <name val="Roboto"/>
    </font>
    <font>
      <b/>
      <sz val="9.0"/>
      <color rgb="FF1E293A"/>
      <name val="Roboto"/>
    </font>
    <font>
      <sz val="9.0"/>
      <color theme="1"/>
      <name val="Roboto"/>
    </font>
    <font>
      <b/>
      <sz val="9.0"/>
      <color rgb="FFFFFFFF"/>
      <name val="Google Sans"/>
    </font>
    <font>
      <b/>
      <sz val="9.0"/>
      <color rgb="FF991C1C"/>
      <name val="Roboto"/>
    </font>
    <font>
      <b/>
      <sz val="9.0"/>
      <color rgb="FF913F0C"/>
      <name val="Roboto"/>
    </font>
    <font>
      <b/>
      <color theme="1"/>
      <name val="Carlito"/>
      <scheme val="minor"/>
    </font>
    <font>
      <b/>
      <sz val="9.0"/>
      <color theme="1"/>
      <name val="Roboto"/>
    </font>
    <font>
      <b/>
      <sz val="8.0"/>
      <color theme="1"/>
      <name val="Roboto"/>
    </font>
    <font>
      <sz val="8.0"/>
      <color theme="1"/>
      <name val="Roboto"/>
    </font>
    <font>
      <b/>
      <sz val="10.0"/>
      <color rgb="FFFFFFFF"/>
      <name val="Roboto"/>
    </font>
    <font>
      <sz val="10.0"/>
      <color rgb="FF191919"/>
      <name val="Roboto"/>
    </font>
    <font>
      <b/>
      <sz val="10.0"/>
      <color rgb="FF143372"/>
      <name val="Roboto"/>
    </font>
    <font>
      <sz val="8.0"/>
      <color rgb="FF191919"/>
      <name val="Roboto"/>
    </font>
    <font>
      <b/>
      <sz val="10.0"/>
      <color rgb="FF065F46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1E395F"/>
        <bgColor rgb="FF1E395F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  <fill>
      <patternFill patternType="solid">
        <fgColor rgb="FFFFFFFF"/>
        <bgColor rgb="FFFFFFFF"/>
      </patternFill>
    </fill>
    <fill>
      <patternFill patternType="solid">
        <fgColor rgb="FFFBFCFD"/>
        <bgColor rgb="FFFBFCFD"/>
      </patternFill>
    </fill>
    <fill>
      <patternFill patternType="solid">
        <fgColor rgb="FFE1E8EF"/>
        <bgColor rgb="FFE1E8EF"/>
      </patternFill>
    </fill>
    <fill>
      <patternFill patternType="solid">
        <fgColor rgb="FFF7F9FC"/>
        <bgColor rgb="FFF7F9FC"/>
      </patternFill>
    </fill>
    <fill>
      <patternFill patternType="solid">
        <fgColor rgb="FF1E3A5F"/>
        <bgColor rgb="FF1E3A5F"/>
      </patternFill>
    </fill>
    <fill>
      <patternFill patternType="solid">
        <fgColor rgb="FF356854"/>
        <bgColor rgb="FF356854"/>
      </patternFill>
    </fill>
    <fill>
      <patternFill patternType="solid">
        <fgColor rgb="FF8C1E26"/>
        <bgColor rgb="FF8C1E26"/>
      </patternFill>
    </fill>
    <fill>
      <patternFill patternType="solid">
        <fgColor rgb="FF8C3814"/>
        <bgColor rgb="FF8C3814"/>
      </patternFill>
    </fill>
    <fill>
      <patternFill patternType="solid">
        <fgColor rgb="FFFDE1E1"/>
        <bgColor rgb="FFFDE1E1"/>
      </patternFill>
    </fill>
    <fill>
      <patternFill patternType="solid">
        <fgColor rgb="FFFDF3C6"/>
        <bgColor rgb="FFFDF3C6"/>
      </patternFill>
    </fill>
    <fill>
      <patternFill patternType="solid">
        <fgColor rgb="FFEEF2F6"/>
        <bgColor rgb="FFEEF2F6"/>
      </patternFill>
    </fill>
    <fill>
      <patternFill patternType="solid">
        <fgColor rgb="FFE8EEF4"/>
        <bgColor rgb="FFE8EEF4"/>
      </patternFill>
    </fill>
    <fill>
      <patternFill patternType="solid">
        <fgColor rgb="FFF2F5F8"/>
        <bgColor rgb="FFF2F5F8"/>
      </patternFill>
    </fill>
    <fill>
      <patternFill patternType="solid">
        <fgColor rgb="FF1D3A8A"/>
        <bgColor rgb="FF1D3A8A"/>
      </patternFill>
    </fill>
    <fill>
      <patternFill patternType="solid">
        <fgColor rgb="FFF6F8FB"/>
        <bgColor rgb="FFF6F8FB"/>
      </patternFill>
    </fill>
    <fill>
      <patternFill patternType="solid">
        <fgColor rgb="FFF5F7FA"/>
        <bgColor rgb="FFF5F7FA"/>
      </patternFill>
    </fill>
    <fill>
      <patternFill patternType="solid">
        <fgColor rgb="FFE8F0FB"/>
        <bgColor rgb="FFE8F0FB"/>
      </patternFill>
    </fill>
    <fill>
      <patternFill patternType="solid">
        <fgColor rgb="FFD1F9E5"/>
        <bgColor rgb="FFD1F9E5"/>
      </patternFill>
    </fill>
  </fills>
  <borders count="43">
    <border/>
    <border>
      <left style="thin">
        <color rgb="FFCCD6E0"/>
      </left>
      <top style="thin">
        <color rgb="FFCCD6E0"/>
      </top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CCD6E0"/>
      </left>
    </border>
    <border>
      <right style="thin">
        <color rgb="FFCCD6E0"/>
      </right>
    </border>
    <border>
      <left style="thin">
        <color rgb="FFCCD6E0"/>
      </left>
      <bottom style="thin">
        <color rgb="FFCCD6E0"/>
      </bottom>
    </border>
    <border>
      <bottom style="thin">
        <color rgb="FFCCD6E0"/>
      </bottom>
    </border>
    <border>
      <right style="thin">
        <color rgb="FFCCD6E0"/>
      </right>
      <bottom style="thin">
        <color rgb="FFCCD6E0"/>
      </bottom>
    </border>
    <border>
      <left style="thin">
        <color rgb="FFB2BFCC"/>
      </left>
      <top style="thin">
        <color rgb="FFB2BFCC"/>
      </top>
      <bottom style="thin">
        <color rgb="FFE5EAEF"/>
      </bottom>
    </border>
    <border>
      <top style="thin">
        <color rgb="FFB2BFCC"/>
      </top>
      <bottom style="thin">
        <color rgb="FFE5EAEF"/>
      </bottom>
    </border>
    <border>
      <right style="thin">
        <color rgb="FFB2BFCC"/>
      </right>
      <top style="thin">
        <color rgb="FFB2BFCC"/>
      </top>
      <bottom style="thin">
        <color rgb="FFE5EAEF"/>
      </bottom>
    </border>
    <border>
      <left style="thin">
        <color rgb="FFB2BFCC"/>
      </left>
      <right style="thin">
        <color rgb="FFE0E5EA"/>
      </right>
      <top style="thin">
        <color rgb="FFE5EAEF"/>
      </top>
      <bottom style="thin">
        <color rgb="FFE5EAEF"/>
      </bottom>
    </border>
    <border>
      <left style="thin">
        <color rgb="FFE0E5EA"/>
      </left>
      <right style="thin">
        <color rgb="FFE0E5EA"/>
      </right>
      <top style="thin">
        <color rgb="FFE5EAEF"/>
      </top>
      <bottom style="thin">
        <color rgb="FFE5EAEF"/>
      </bottom>
    </border>
    <border>
      <left style="thin">
        <color rgb="FFE0E5EA"/>
      </left>
      <right style="thin">
        <color rgb="FFB2BFCC"/>
      </right>
      <top style="thin">
        <color rgb="FFE5EAEF"/>
      </top>
      <bottom style="thin">
        <color rgb="FFE5EAEF"/>
      </bottom>
    </border>
    <border>
      <left style="thin">
        <color rgb="FFB2BFCC"/>
      </left>
      <right style="thin">
        <color rgb="FFE0E5EA"/>
      </right>
      <top style="thin">
        <color rgb="FFE5EAEF"/>
      </top>
    </border>
    <border>
      <left style="thin">
        <color rgb="FFE0E5EA"/>
      </left>
      <right style="thin">
        <color rgb="FFE0E5EA"/>
      </right>
      <top style="thin">
        <color rgb="FFE5EAEF"/>
      </top>
    </border>
    <border>
      <left style="thin">
        <color rgb="FFE0E5EA"/>
      </left>
      <right style="thin">
        <color rgb="FFB2BFCC"/>
      </right>
      <top style="thin">
        <color rgb="FFE5EAEF"/>
      </top>
    </border>
    <border>
      <left style="thin">
        <color rgb="FFB2BFCC"/>
      </left>
      <right style="thin">
        <color rgb="FFE0E5EA"/>
      </right>
      <top style="thin">
        <color rgb="FFE5EAEF"/>
      </top>
      <bottom style="thin">
        <color rgb="FFB2BFCC"/>
      </bottom>
    </border>
    <border>
      <left style="thin">
        <color rgb="FFE0E5EA"/>
      </left>
      <right style="thin">
        <color rgb="FFE0E5EA"/>
      </right>
      <top style="thin">
        <color rgb="FFE5EAEF"/>
      </top>
      <bottom style="thin">
        <color rgb="FFB2BFCC"/>
      </bottom>
    </border>
    <border>
      <left style="thin">
        <color rgb="FFE0E5EA"/>
      </left>
      <right style="thin">
        <color rgb="FFB2BFCC"/>
      </right>
      <top style="thin">
        <color rgb="FFE5EAEF"/>
      </top>
      <bottom style="thin">
        <color rgb="FFB2BFCC"/>
      </bottom>
    </border>
    <border>
      <left style="thin">
        <color rgb="FFB2BFCC"/>
      </left>
      <top style="thin">
        <color rgb="FFE5EAEF"/>
      </top>
      <bottom style="thin">
        <color rgb="FFE5EAEF"/>
      </bottom>
    </border>
    <border>
      <top style="thin">
        <color rgb="FFE5EAEF"/>
      </top>
      <bottom style="thin">
        <color rgb="FFE5EAEF"/>
      </bottom>
    </border>
    <border>
      <right style="thin">
        <color rgb="FFB2BFCC"/>
      </right>
      <top style="thin">
        <color rgb="FFE5EAEF"/>
      </top>
      <bottom style="thin">
        <color rgb="FFE5EAEF"/>
      </bottom>
    </border>
    <border>
      <left style="thin">
        <color rgb="FFB2BFCC"/>
      </left>
      <top style="thin">
        <color rgb="FFE5EAEF"/>
      </top>
      <bottom style="thin">
        <color rgb="FFB2BFCC"/>
      </bottom>
    </border>
    <border>
      <top style="thin">
        <color rgb="FFE5EAEF"/>
      </top>
      <bottom style="thin">
        <color rgb="FFB2BFCC"/>
      </bottom>
    </border>
    <border>
      <right style="thin">
        <color rgb="FFB2BFCC"/>
      </right>
      <top style="thin">
        <color rgb="FFE5EAEF"/>
      </top>
      <bottom style="thin">
        <color rgb="FFB2BFCC"/>
      </bottom>
    </border>
    <border>
      <left style="thin">
        <color rgb="FFE0E5EA"/>
      </left>
      <top style="thin">
        <color rgb="FFE5EAEF"/>
      </top>
      <bottom style="thin">
        <color rgb="FFE5EAEF"/>
      </bottom>
    </border>
    <border>
      <left style="thin">
        <color rgb="FFE0E5EA"/>
      </left>
      <top style="thin">
        <color rgb="FFE5EAEF"/>
      </top>
      <bottom style="thin">
        <color rgb="FFB2BFCC"/>
      </bottom>
    </border>
    <border>
      <left style="thin">
        <color rgb="FFB2BFCC"/>
      </left>
      <right style="thin">
        <color rgb="FFE0E5EA"/>
      </right>
      <bottom style="thin">
        <color rgb="FFB2BFCC"/>
      </bottom>
    </border>
    <border>
      <left style="thin">
        <color rgb="FFE0E5EA"/>
      </left>
      <bottom style="thin">
        <color rgb="FFB2BFCC"/>
      </bottom>
    </border>
    <border>
      <bottom style="thin">
        <color rgb="FFB2BFCC"/>
      </bottom>
    </border>
    <border>
      <right style="thin">
        <color rgb="FFB2BFCC"/>
      </right>
      <bottom style="thin">
        <color rgb="FFB2BFCC"/>
      </bottom>
    </border>
    <border>
      <left style="thin">
        <color rgb="FFCCD8E5"/>
      </left>
      <right style="thin">
        <color rgb="FFE0E8EF"/>
      </right>
      <top style="thin">
        <color rgb="FFCCD8E5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CD8E5"/>
      </top>
      <bottom style="thin">
        <color rgb="FFE0E8EF"/>
      </bottom>
    </border>
    <border>
      <left style="thin">
        <color rgb="FFE0E8EF"/>
      </left>
      <right style="thin">
        <color rgb="FFCCD8E5"/>
      </right>
      <top style="thin">
        <color rgb="FFCCD8E5"/>
      </top>
      <bottom style="thin">
        <color rgb="FFE0E8EF"/>
      </bottom>
    </border>
    <border>
      <left style="thin">
        <color rgb="FFCCD8E5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CD8E5"/>
      </right>
      <top style="thin">
        <color rgb="FFE0E8EF"/>
      </top>
      <bottom style="thin">
        <color rgb="FFE0E8EF"/>
      </bottom>
    </border>
    <border>
      <left style="thin">
        <color rgb="FFCCD8E5"/>
      </left>
      <right style="thin">
        <color rgb="FFE0E8EF"/>
      </right>
      <top style="thin">
        <color rgb="FFE0E8EF"/>
      </top>
      <bottom style="thin">
        <color rgb="FFCCD8E5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8E5"/>
      </bottom>
    </border>
    <border>
      <left style="thin">
        <color rgb="FFE0E8EF"/>
      </left>
      <right style="thin">
        <color rgb="FFCCD8E5"/>
      </right>
      <top style="thin">
        <color rgb="FFE0E8EF"/>
      </top>
      <bottom style="thin">
        <color rgb="FFCCD8E5"/>
      </bottom>
    </border>
    <border>
      <left style="thin">
        <color rgb="FFDFE7EE"/>
      </left>
      <right style="thin">
        <color rgb="FFDFE7EE"/>
      </right>
      <top style="thin">
        <color rgb="FFDFE7EE"/>
      </top>
      <bottom style="thin">
        <color rgb="FFDFE7EE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left" readingOrder="0" vertical="center"/>
    </xf>
    <xf borderId="0" fillId="4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right" shrinkToFit="0" vertical="center" wrapText="0"/>
    </xf>
    <xf borderId="1" fillId="5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5" fontId="5" numFmtId="0" xfId="0" applyAlignment="1" applyFill="1" applyFont="1">
      <alignment horizontal="center" vertical="center"/>
    </xf>
    <xf borderId="4" fillId="6" fontId="7" numFmtId="165" xfId="0" applyAlignment="1" applyBorder="1" applyFill="1" applyFont="1" applyNumberFormat="1">
      <alignment horizontal="center" vertical="center"/>
    </xf>
    <xf borderId="5" fillId="0" fontId="6" numFmtId="0" xfId="0" applyBorder="1" applyFont="1"/>
    <xf borderId="4" fillId="6" fontId="8" numFmtId="166" xfId="0" applyAlignment="1" applyBorder="1" applyFill="1" applyFont="1" applyNumberFormat="1">
      <alignment horizontal="center" vertical="center"/>
    </xf>
    <xf borderId="4" fillId="6" fontId="9" numFmtId="167" xfId="0" applyAlignment="1" applyBorder="1" applyFill="1" applyFont="1" applyNumberFormat="1">
      <alignment horizontal="center" vertical="center"/>
    </xf>
    <xf borderId="4" fillId="6" fontId="10" numFmtId="168" xfId="0" applyAlignment="1" applyBorder="1" applyFill="1" applyFont="1" applyNumberFormat="1">
      <alignment horizontal="center" vertical="center"/>
    </xf>
    <xf borderId="4" fillId="7" fontId="11" numFmtId="0" xfId="0" applyAlignment="1" applyBorder="1" applyFill="1" applyFont="1">
      <alignment horizontal="center" vertical="center"/>
    </xf>
    <xf borderId="0" fillId="7" fontId="11" numFmtId="0" xfId="0" applyAlignment="1" applyFill="1" applyFont="1">
      <alignment horizontal="center" vertical="center"/>
    </xf>
    <xf borderId="4" fillId="7" fontId="11" numFmtId="0" xfId="0" applyAlignment="1" applyBorder="1" applyFill="1" applyFont="1">
      <alignment horizontal="center" readingOrder="0" vertical="center"/>
    </xf>
    <xf borderId="6" fillId="7" fontId="11" numFmtId="0" xfId="0" applyAlignment="1" applyBorder="1" applyFill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3" fontId="2" numFmtId="0" xfId="0" applyAlignment="1" applyBorder="1" applyFill="1" applyFont="1">
      <alignment horizontal="left" readingOrder="0" vertical="center"/>
    </xf>
    <xf borderId="10" fillId="0" fontId="6" numFmtId="0" xfId="0" applyBorder="1" applyFont="1"/>
    <xf borderId="11" fillId="0" fontId="6" numFmtId="0" xfId="0" applyBorder="1" applyFont="1"/>
    <xf borderId="12" fillId="8" fontId="12" numFmtId="0" xfId="0" applyAlignment="1" applyBorder="1" applyFill="1" applyFont="1">
      <alignment horizontal="center" readingOrder="0" vertical="center"/>
    </xf>
    <xf borderId="13" fillId="8" fontId="12" numFmtId="0" xfId="0" applyAlignment="1" applyBorder="1" applyFill="1" applyFont="1">
      <alignment horizontal="center" readingOrder="0" vertical="center"/>
    </xf>
    <xf borderId="14" fillId="8" fontId="12" numFmtId="0" xfId="0" applyAlignment="1" applyBorder="1" applyFill="1" applyFont="1">
      <alignment horizontal="center" readingOrder="0" vertical="center"/>
    </xf>
    <xf borderId="0" fillId="8" fontId="12" numFmtId="0" xfId="0" applyAlignment="1" applyFill="1" applyFont="1">
      <alignment horizontal="center" vertical="center"/>
    </xf>
    <xf borderId="12" fillId="0" fontId="13" numFmtId="0" xfId="0" applyAlignment="1" applyBorder="1" applyFont="1">
      <alignment horizontal="left" readingOrder="0" vertical="center"/>
    </xf>
    <xf borderId="13" fillId="0" fontId="13" numFmtId="0" xfId="0" applyAlignment="1" applyBorder="1" applyFont="1">
      <alignment horizontal="left" readingOrder="0" vertical="center"/>
    </xf>
    <xf borderId="13" fillId="0" fontId="13" numFmtId="169" xfId="0" applyAlignment="1" applyBorder="1" applyFont="1" applyNumberFormat="1">
      <alignment horizontal="right" vertical="center"/>
    </xf>
    <xf borderId="14" fillId="0" fontId="13" numFmtId="0" xfId="0" applyAlignment="1" applyBorder="1" applyFont="1">
      <alignment horizontal="center" vertical="center"/>
    </xf>
    <xf borderId="13" fillId="0" fontId="13" numFmtId="3" xfId="0" applyAlignment="1" applyBorder="1" applyFont="1" applyNumberFormat="1">
      <alignment horizontal="right" vertical="center"/>
    </xf>
    <xf borderId="13" fillId="0" fontId="13" numFmtId="167" xfId="0" applyAlignment="1" applyBorder="1" applyFont="1" applyNumberFormat="1">
      <alignment horizontal="right" vertical="center"/>
    </xf>
    <xf borderId="14" fillId="0" fontId="13" numFmtId="169" xfId="0" applyAlignment="1" applyBorder="1" applyFont="1" applyNumberFormat="1">
      <alignment horizontal="right" vertical="center"/>
    </xf>
    <xf borderId="12" fillId="9" fontId="13" numFmtId="0" xfId="0" applyAlignment="1" applyBorder="1" applyFill="1" applyFont="1">
      <alignment horizontal="left" readingOrder="0" vertical="center"/>
    </xf>
    <xf borderId="13" fillId="9" fontId="13" numFmtId="0" xfId="0" applyAlignment="1" applyBorder="1" applyFill="1" applyFont="1">
      <alignment horizontal="left" readingOrder="0" vertical="center"/>
    </xf>
    <xf borderId="13" fillId="9" fontId="13" numFmtId="170" xfId="0" applyAlignment="1" applyBorder="1" applyFill="1" applyFont="1" applyNumberFormat="1">
      <alignment horizontal="right" vertical="center"/>
    </xf>
    <xf borderId="14" fillId="9" fontId="13" numFmtId="0" xfId="0" applyAlignment="1" applyBorder="1" applyFill="1" applyFont="1">
      <alignment horizontal="center" vertical="center"/>
    </xf>
    <xf borderId="13" fillId="9" fontId="13" numFmtId="3" xfId="0" applyAlignment="1" applyBorder="1" applyFill="1" applyFont="1" applyNumberFormat="1">
      <alignment horizontal="right" vertical="center"/>
    </xf>
    <xf borderId="13" fillId="9" fontId="13" numFmtId="167" xfId="0" applyAlignment="1" applyBorder="1" applyFill="1" applyFont="1" applyNumberFormat="1">
      <alignment horizontal="right" vertical="center"/>
    </xf>
    <xf borderId="14" fillId="9" fontId="13" numFmtId="169" xfId="0" applyAlignment="1" applyBorder="1" applyFill="1" applyFont="1" applyNumberFormat="1">
      <alignment horizontal="right" vertical="center"/>
    </xf>
    <xf borderId="13" fillId="0" fontId="13" numFmtId="171" xfId="0" applyAlignment="1" applyBorder="1" applyFont="1" applyNumberFormat="1">
      <alignment horizontal="right" vertical="center"/>
    </xf>
    <xf borderId="13" fillId="9" fontId="13" numFmtId="172" xfId="0" applyAlignment="1" applyBorder="1" applyFill="1" applyFont="1" applyNumberFormat="1">
      <alignment horizontal="right" vertical="center"/>
    </xf>
    <xf borderId="13" fillId="0" fontId="13" numFmtId="173" xfId="0" applyAlignment="1" applyBorder="1" applyFont="1" applyNumberFormat="1">
      <alignment horizontal="right" vertical="center"/>
    </xf>
    <xf borderId="13" fillId="9" fontId="13" numFmtId="4" xfId="0" applyAlignment="1" applyBorder="1" applyFill="1" applyFont="1" applyNumberFormat="1">
      <alignment horizontal="right" vertical="center"/>
    </xf>
    <xf borderId="13" fillId="0" fontId="13" numFmtId="174" xfId="0" applyAlignment="1" applyBorder="1" applyFont="1" applyNumberFormat="1">
      <alignment horizontal="right" vertical="center"/>
    </xf>
    <xf borderId="15" fillId="9" fontId="13" numFmtId="0" xfId="0" applyAlignment="1" applyBorder="1" applyFill="1" applyFont="1">
      <alignment horizontal="left" readingOrder="0" vertical="center"/>
    </xf>
    <xf borderId="16" fillId="9" fontId="13" numFmtId="0" xfId="0" applyAlignment="1" applyBorder="1" applyFill="1" applyFont="1">
      <alignment horizontal="left" readingOrder="0" vertical="center"/>
    </xf>
    <xf borderId="16" fillId="9" fontId="13" numFmtId="174" xfId="0" applyAlignment="1" applyBorder="1" applyFill="1" applyFont="1" applyNumberFormat="1">
      <alignment horizontal="right" vertical="center"/>
    </xf>
    <xf borderId="17" fillId="9" fontId="13" numFmtId="0" xfId="0" applyAlignment="1" applyBorder="1" applyFill="1" applyFont="1">
      <alignment horizontal="center" vertical="center"/>
    </xf>
    <xf borderId="16" fillId="9" fontId="13" numFmtId="3" xfId="0" applyAlignment="1" applyBorder="1" applyFill="1" applyFont="1" applyNumberFormat="1">
      <alignment horizontal="right" vertical="center"/>
    </xf>
    <xf borderId="16" fillId="9" fontId="13" numFmtId="167" xfId="0" applyAlignment="1" applyBorder="1" applyFill="1" applyFont="1" applyNumberFormat="1">
      <alignment horizontal="right" vertical="center"/>
    </xf>
    <xf borderId="17" fillId="9" fontId="13" numFmtId="169" xfId="0" applyAlignment="1" applyBorder="1" applyFill="1" applyFont="1" applyNumberFormat="1">
      <alignment horizontal="right" vertical="center"/>
    </xf>
    <xf borderId="18" fillId="9" fontId="13" numFmtId="0" xfId="0" applyAlignment="1" applyBorder="1" applyFill="1" applyFont="1">
      <alignment horizontal="left" readingOrder="0" vertical="center"/>
    </xf>
    <xf borderId="19" fillId="9" fontId="13" numFmtId="0" xfId="0" applyAlignment="1" applyBorder="1" applyFill="1" applyFont="1">
      <alignment horizontal="left" readingOrder="0" vertical="center"/>
    </xf>
    <xf borderId="19" fillId="9" fontId="13" numFmtId="174" xfId="0" applyAlignment="1" applyBorder="1" applyFill="1" applyFont="1" applyNumberFormat="1">
      <alignment horizontal="right" vertical="center"/>
    </xf>
    <xf borderId="20" fillId="9" fontId="13" numFmtId="0" xfId="0" applyAlignment="1" applyBorder="1" applyFill="1" applyFont="1">
      <alignment horizontal="center" vertical="center"/>
    </xf>
    <xf borderId="19" fillId="9" fontId="13" numFmtId="3" xfId="0" applyAlignment="1" applyBorder="1" applyFill="1" applyFont="1" applyNumberFormat="1">
      <alignment horizontal="right" vertical="center"/>
    </xf>
    <xf borderId="19" fillId="9" fontId="13" numFmtId="167" xfId="0" applyAlignment="1" applyBorder="1" applyFill="1" applyFont="1" applyNumberFormat="1">
      <alignment horizontal="right" vertical="center"/>
    </xf>
    <xf borderId="20" fillId="9" fontId="13" numFmtId="169" xfId="0" applyAlignment="1" applyBorder="1" applyFill="1" applyFont="1" applyNumberFormat="1">
      <alignment horizontal="right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/>
    </xf>
    <xf borderId="0" fillId="10" fontId="2" numFmtId="0" xfId="0" applyAlignment="1" applyFill="1" applyFont="1">
      <alignment horizontal="left" readingOrder="0" vertical="center"/>
    </xf>
    <xf borderId="0" fillId="11" fontId="14" numFmtId="0" xfId="0" applyAlignment="1" applyFill="1" applyFont="1">
      <alignment horizontal="center" readingOrder="0" vertical="center"/>
    </xf>
    <xf borderId="0" fillId="0" fontId="4" numFmtId="49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169" xfId="0" applyAlignment="1" applyFont="1" applyNumberFormat="1">
      <alignment horizontal="right"/>
    </xf>
    <xf borderId="9" fillId="12" fontId="2" numFmtId="0" xfId="0" applyAlignment="1" applyBorder="1" applyFill="1" applyFont="1">
      <alignment horizontal="left" readingOrder="0" vertical="center"/>
    </xf>
    <xf borderId="9" fillId="13" fontId="2" numFmtId="0" xfId="0" applyAlignment="1" applyBorder="1" applyFill="1" applyFont="1">
      <alignment horizontal="left" readingOrder="0" vertical="center"/>
    </xf>
    <xf borderId="21" fillId="14" fontId="15" numFmtId="0" xfId="0" applyAlignment="1" applyBorder="1" applyFill="1" applyFont="1">
      <alignment horizontal="center" readingOrder="0" vertical="center"/>
    </xf>
    <xf borderId="22" fillId="14" fontId="15" numFmtId="0" xfId="0" applyAlignment="1" applyBorder="1" applyFill="1" applyFont="1">
      <alignment horizontal="center" readingOrder="0" vertical="center"/>
    </xf>
    <xf borderId="23" fillId="14" fontId="15" numFmtId="0" xfId="0" applyAlignment="1" applyBorder="1" applyFill="1" applyFont="1">
      <alignment horizontal="center" readingOrder="0" vertical="center"/>
    </xf>
    <xf borderId="21" fillId="15" fontId="16" numFmtId="0" xfId="0" applyAlignment="1" applyBorder="1" applyFill="1" applyFont="1">
      <alignment horizontal="center" readingOrder="0" vertical="center"/>
    </xf>
    <xf borderId="22" fillId="15" fontId="16" numFmtId="0" xfId="0" applyAlignment="1" applyBorder="1" applyFill="1" applyFont="1">
      <alignment horizontal="center" readingOrder="0" vertical="center"/>
    </xf>
    <xf borderId="23" fillId="15" fontId="16" numFmtId="0" xfId="0" applyAlignment="1" applyBorder="1" applyFill="1" applyFont="1">
      <alignment horizontal="center" readingOrder="0" vertical="center"/>
    </xf>
    <xf borderId="21" fillId="0" fontId="13" numFmtId="0" xfId="0" applyAlignment="1" applyBorder="1" applyFont="1">
      <alignment readingOrder="0" vertical="center"/>
    </xf>
    <xf borderId="22" fillId="0" fontId="13" numFmtId="0" xfId="0" applyAlignment="1" applyBorder="1" applyFont="1">
      <alignment readingOrder="0" vertical="center"/>
    </xf>
    <xf borderId="22" fillId="0" fontId="13" numFmtId="0" xfId="0" applyAlignment="1" applyBorder="1" applyFont="1">
      <alignment readingOrder="0" shrinkToFit="0" vertical="center" wrapText="1"/>
    </xf>
    <xf borderId="23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0" fillId="16" fontId="17" numFmtId="0" xfId="0" applyAlignment="1" applyFill="1" applyFont="1">
      <alignment readingOrder="0"/>
    </xf>
    <xf borderId="0" fillId="16" fontId="17" numFmtId="0" xfId="0" applyFill="1" applyFont="1"/>
    <xf borderId="0" fillId="16" fontId="17" numFmtId="169" xfId="0" applyAlignment="1" applyFill="1" applyFont="1" applyNumberFormat="1">
      <alignment horizontal="right"/>
    </xf>
    <xf borderId="24" fillId="0" fontId="13" numFmtId="0" xfId="0" applyAlignment="1" applyBorder="1" applyFont="1">
      <alignment vertical="center"/>
    </xf>
    <xf borderId="25" fillId="0" fontId="13" numFmtId="0" xfId="0" applyAlignment="1" applyBorder="1" applyFont="1">
      <alignment vertical="center"/>
    </xf>
    <xf borderId="26" fillId="0" fontId="13" numFmtId="0" xfId="0" applyAlignment="1" applyBorder="1" applyFont="1">
      <alignment vertical="center"/>
    </xf>
    <xf borderId="14" fillId="0" fontId="13" numFmtId="167" xfId="0" applyAlignment="1" applyBorder="1" applyFont="1" applyNumberFormat="1">
      <alignment horizontal="right" vertical="center"/>
    </xf>
    <xf borderId="13" fillId="0" fontId="13" numFmtId="0" xfId="0" applyAlignment="1" applyBorder="1" applyFont="1">
      <alignment horizontal="center" readingOrder="0" vertical="center"/>
    </xf>
    <xf borderId="12" fillId="17" fontId="18" numFmtId="0" xfId="0" applyAlignment="1" applyBorder="1" applyFill="1" applyFont="1">
      <alignment readingOrder="0"/>
    </xf>
    <xf borderId="13" fillId="17" fontId="18" numFmtId="3" xfId="0" applyAlignment="1" applyBorder="1" applyFill="1" applyFont="1" applyNumberFormat="1">
      <alignment horizontal="right" vertical="center"/>
    </xf>
    <xf borderId="13" fillId="17" fontId="18" numFmtId="169" xfId="0" applyAlignment="1" applyBorder="1" applyFill="1" applyFont="1" applyNumberFormat="1">
      <alignment horizontal="right" vertical="center"/>
    </xf>
    <xf borderId="14" fillId="17" fontId="18" numFmtId="167" xfId="0" applyAlignment="1" applyBorder="1" applyFill="1" applyFont="1" applyNumberFormat="1">
      <alignment horizontal="right" vertical="center"/>
    </xf>
    <xf borderId="12" fillId="18" fontId="19" numFmtId="0" xfId="0" applyAlignment="1" applyBorder="1" applyFill="1" applyFont="1">
      <alignment horizontal="center" readingOrder="0" vertical="center"/>
    </xf>
    <xf borderId="27" fillId="0" fontId="20" numFmtId="0" xfId="0" applyAlignment="1" applyBorder="1" applyFont="1">
      <alignment horizontal="left" readingOrder="0" vertical="center"/>
    </xf>
    <xf borderId="22" fillId="0" fontId="6" numFmtId="0" xfId="0" applyBorder="1" applyFont="1"/>
    <xf borderId="23" fillId="0" fontId="6" numFmtId="0" xfId="0" applyBorder="1" applyFont="1"/>
    <xf borderId="18" fillId="18" fontId="19" numFmtId="0" xfId="0" applyAlignment="1" applyBorder="1" applyFill="1" applyFont="1">
      <alignment horizontal="center" readingOrder="0" vertical="center"/>
    </xf>
    <xf borderId="28" fillId="0" fontId="20" numFmtId="0" xfId="0" applyAlignment="1" applyBorder="1" applyFont="1">
      <alignment horizontal="left" readingOrder="0" vertical="center"/>
    </xf>
    <xf borderId="25" fillId="0" fontId="6" numFmtId="0" xfId="0" applyBorder="1" applyFont="1"/>
    <xf borderId="26" fillId="0" fontId="6" numFmtId="0" xfId="0" applyBorder="1" applyFont="1"/>
    <xf borderId="29" fillId="17" fontId="19" numFmtId="0" xfId="0" applyAlignment="1" applyBorder="1" applyFill="1" applyFont="1">
      <alignment horizontal="center" readingOrder="0" vertical="center"/>
    </xf>
    <xf borderId="30" fillId="17" fontId="19" numFmtId="0" xfId="0" applyAlignment="1" applyBorder="1" applyFill="1" applyFont="1">
      <alignment horizontal="left" readingOrder="0" vertical="center"/>
    </xf>
    <xf borderId="31" fillId="0" fontId="6" numFmtId="0" xfId="0" applyBorder="1" applyFont="1"/>
    <xf borderId="32" fillId="0" fontId="6" numFmtId="0" xfId="0" applyBorder="1" applyFont="1"/>
    <xf borderId="18" fillId="17" fontId="18" numFmtId="0" xfId="0" applyAlignment="1" applyBorder="1" applyFill="1" applyFont="1">
      <alignment readingOrder="0"/>
    </xf>
    <xf borderId="19" fillId="17" fontId="18" numFmtId="0" xfId="0" applyAlignment="1" applyBorder="1" applyFill="1" applyFont="1">
      <alignment readingOrder="0"/>
    </xf>
    <xf borderId="19" fillId="17" fontId="18" numFmtId="169" xfId="0" applyAlignment="1" applyBorder="1" applyFill="1" applyFont="1" applyNumberFormat="1">
      <alignment horizontal="right" vertical="center"/>
    </xf>
    <xf borderId="20" fillId="17" fontId="18" numFmtId="0" xfId="0" applyAlignment="1" applyBorder="1" applyFill="1" applyFont="1">
      <alignment horizontal="center" readingOrder="0" vertical="center"/>
    </xf>
    <xf borderId="33" fillId="19" fontId="21" numFmtId="49" xfId="0" applyAlignment="1" applyBorder="1" applyFill="1" applyFont="1" applyNumberFormat="1">
      <alignment horizontal="center" readingOrder="0" shrinkToFit="0" vertical="center" wrapText="1"/>
    </xf>
    <xf borderId="34" fillId="19" fontId="21" numFmtId="0" xfId="0" applyAlignment="1" applyBorder="1" applyFill="1" applyFont="1">
      <alignment horizontal="center" readingOrder="0" shrinkToFit="0" vertical="center" wrapText="1"/>
    </xf>
    <xf borderId="35" fillId="19" fontId="21" numFmtId="0" xfId="0" applyAlignment="1" applyBorder="1" applyFill="1" applyFont="1">
      <alignment horizontal="center" readingOrder="0" shrinkToFit="0" vertical="center" wrapText="0"/>
    </xf>
    <xf borderId="36" fillId="6" fontId="22" numFmtId="49" xfId="0" applyAlignment="1" applyBorder="1" applyFill="1" applyFont="1" applyNumberFormat="1">
      <alignment horizontal="center" readingOrder="0" shrinkToFit="0" vertical="center" wrapText="1"/>
    </xf>
    <xf borderId="37" fillId="6" fontId="22" numFmtId="0" xfId="0" applyAlignment="1" applyBorder="1" applyFill="1" applyFont="1">
      <alignment horizontal="left" readingOrder="0" shrinkToFit="0" vertical="center" wrapText="1"/>
    </xf>
    <xf borderId="37" fillId="6" fontId="22" numFmtId="0" xfId="0" applyAlignment="1" applyBorder="1" applyFill="1" applyFont="1">
      <alignment horizontal="center" readingOrder="0" shrinkToFit="0" vertical="center" wrapText="1"/>
    </xf>
    <xf borderId="38" fillId="6" fontId="22" numFmtId="175" xfId="0" applyAlignment="1" applyBorder="1" applyFill="1" applyFont="1" applyNumberFormat="1">
      <alignment horizontal="center" readingOrder="0" shrinkToFit="0" vertical="center" wrapText="0"/>
    </xf>
    <xf borderId="36" fillId="20" fontId="22" numFmtId="49" xfId="0" applyAlignment="1" applyBorder="1" applyFill="1" applyFont="1" applyNumberFormat="1">
      <alignment horizontal="center" readingOrder="0" shrinkToFit="0" vertical="center" wrapText="1"/>
    </xf>
    <xf borderId="37" fillId="20" fontId="22" numFmtId="0" xfId="0" applyAlignment="1" applyBorder="1" applyFill="1" applyFont="1">
      <alignment horizontal="left" readingOrder="0" shrinkToFit="0" vertical="center" wrapText="1"/>
    </xf>
    <xf borderId="37" fillId="20" fontId="22" numFmtId="0" xfId="0" applyAlignment="1" applyBorder="1" applyFill="1" applyFont="1">
      <alignment horizontal="center" readingOrder="0" shrinkToFit="0" vertical="center" wrapText="1"/>
    </xf>
    <xf borderId="38" fillId="20" fontId="22" numFmtId="175" xfId="0" applyAlignment="1" applyBorder="1" applyFill="1" applyFont="1" applyNumberFormat="1">
      <alignment horizontal="center" readingOrder="0" shrinkToFit="0" vertical="center" wrapText="0"/>
    </xf>
    <xf borderId="39" fillId="20" fontId="22" numFmtId="49" xfId="0" applyAlignment="1" applyBorder="1" applyFill="1" applyFont="1" applyNumberFormat="1">
      <alignment horizontal="center" readingOrder="0" shrinkToFit="0" vertical="center" wrapText="1"/>
    </xf>
    <xf borderId="40" fillId="20" fontId="22" numFmtId="0" xfId="0" applyAlignment="1" applyBorder="1" applyFill="1" applyFont="1">
      <alignment horizontal="left" readingOrder="0" shrinkToFit="0" vertical="center" wrapText="1"/>
    </xf>
    <xf borderId="40" fillId="20" fontId="22" numFmtId="0" xfId="0" applyAlignment="1" applyBorder="1" applyFill="1" applyFont="1">
      <alignment horizontal="center" readingOrder="0" shrinkToFit="0" vertical="center" wrapText="1"/>
    </xf>
    <xf borderId="41" fillId="20" fontId="22" numFmtId="175" xfId="0" applyAlignment="1" applyBorder="1" applyFill="1" applyFont="1" applyNumberFormat="1">
      <alignment horizontal="center" readingOrder="0" shrinkToFit="0" vertical="center" wrapText="0"/>
    </xf>
    <xf borderId="0" fillId="0" fontId="4" numFmtId="49" xfId="0" applyFont="1" applyNumberFormat="1"/>
    <xf borderId="33" fillId="19" fontId="21" numFmtId="0" xfId="0" applyAlignment="1" applyBorder="1" applyFill="1" applyFont="1">
      <alignment horizontal="center" readingOrder="0" shrinkToFit="0" vertical="center" wrapText="1"/>
    </xf>
    <xf borderId="35" fillId="19" fontId="21" numFmtId="0" xfId="0" applyAlignment="1" applyBorder="1" applyFill="1" applyFont="1">
      <alignment horizontal="center" readingOrder="0" shrinkToFit="0" vertical="center" wrapText="1"/>
    </xf>
    <xf borderId="37" fillId="6" fontId="22" numFmtId="4" xfId="0" applyAlignment="1" applyBorder="1" applyFill="1" applyFont="1" applyNumberFormat="1">
      <alignment horizontal="center" readingOrder="0" shrinkToFit="0" vertical="center" wrapText="1"/>
    </xf>
    <xf borderId="37" fillId="6" fontId="22" numFmtId="4" xfId="0" applyAlignment="1" applyBorder="1" applyFill="1" applyFont="1" applyNumberFormat="1">
      <alignment horizontal="center" readingOrder="0" shrinkToFit="0" vertical="center" wrapText="1"/>
    </xf>
    <xf borderId="37" fillId="6" fontId="22" numFmtId="175" xfId="0" applyAlignment="1" applyBorder="1" applyFill="1" applyFont="1" applyNumberFormat="1">
      <alignment horizontal="center" readingOrder="0" shrinkToFit="0" vertical="center" wrapText="1"/>
    </xf>
    <xf borderId="38" fillId="6" fontId="22" numFmtId="175" xfId="0" applyAlignment="1" applyBorder="1" applyFill="1" applyFont="1" applyNumberFormat="1">
      <alignment horizontal="center" readingOrder="0" shrinkToFit="0" vertical="center" wrapText="1"/>
    </xf>
    <xf borderId="38" fillId="6" fontId="22" numFmtId="175" xfId="0" applyAlignment="1" applyBorder="1" applyFill="1" applyFont="1" applyNumberFormat="1">
      <alignment horizontal="center" shrinkToFit="0" vertical="center" wrapText="1"/>
    </xf>
    <xf borderId="39" fillId="6" fontId="22" numFmtId="49" xfId="0" applyAlignment="1" applyBorder="1" applyFill="1" applyFont="1" applyNumberFormat="1">
      <alignment horizontal="center" readingOrder="0" shrinkToFit="0" vertical="center" wrapText="0"/>
    </xf>
    <xf borderId="40" fillId="6" fontId="22" numFmtId="0" xfId="0" applyAlignment="1" applyBorder="1" applyFill="1" applyFont="1">
      <alignment horizontal="center" readingOrder="0" shrinkToFit="0" vertical="center" wrapText="0"/>
    </xf>
    <xf borderId="40" fillId="6" fontId="22" numFmtId="4" xfId="0" applyAlignment="1" applyBorder="1" applyFill="1" applyFont="1" applyNumberFormat="1">
      <alignment horizontal="center" readingOrder="0" shrinkToFit="0" vertical="center" wrapText="0"/>
    </xf>
    <xf borderId="40" fillId="6" fontId="22" numFmtId="175" xfId="0" applyAlignment="1" applyBorder="1" applyFill="1" applyFont="1" applyNumberFormat="1">
      <alignment horizontal="center" readingOrder="0" shrinkToFit="0" vertical="center" wrapText="0"/>
    </xf>
    <xf borderId="41" fillId="6" fontId="22" numFmtId="175" xfId="0" applyAlignment="1" applyBorder="1" applyFill="1" applyFont="1" applyNumberFormat="1">
      <alignment horizontal="center" readingOrder="0" shrinkToFit="0" vertical="center" wrapText="0"/>
    </xf>
    <xf borderId="37" fillId="6" fontId="22" numFmtId="176" xfId="0" applyAlignment="1" applyBorder="1" applyFill="1" applyFont="1" applyNumberFormat="1">
      <alignment horizontal="center" readingOrder="0" shrinkToFit="0" vertical="center" wrapText="1"/>
    </xf>
    <xf borderId="37" fillId="6" fontId="22" numFmtId="49" xfId="0" applyAlignment="1" applyBorder="1" applyFill="1" applyFont="1" applyNumberFormat="1">
      <alignment horizontal="center" readingOrder="0" shrinkToFit="0" vertical="center" wrapText="0"/>
    </xf>
    <xf borderId="37" fillId="6" fontId="22" numFmtId="3" xfId="0" applyAlignment="1" applyBorder="1" applyFill="1" applyFont="1" applyNumberFormat="1">
      <alignment horizontal="center" readingOrder="0" shrinkToFit="0" vertical="center" wrapText="1"/>
    </xf>
    <xf borderId="37" fillId="6" fontId="22" numFmtId="49" xfId="0" applyAlignment="1" applyBorder="1" applyFill="1" applyFont="1" applyNumberFormat="1">
      <alignment horizontal="center" shrinkToFit="0" vertical="center" wrapText="0"/>
    </xf>
    <xf borderId="39" fillId="6" fontId="22" numFmtId="49" xfId="0" applyAlignment="1" applyBorder="1" applyFill="1" applyFont="1" applyNumberFormat="1">
      <alignment horizontal="center" readingOrder="0" shrinkToFit="0" vertical="center" wrapText="1"/>
    </xf>
    <xf borderId="40" fillId="6" fontId="22" numFmtId="0" xfId="0" applyAlignment="1" applyBorder="1" applyFill="1" applyFont="1">
      <alignment horizontal="center" readingOrder="0" shrinkToFit="0" vertical="center" wrapText="1"/>
    </xf>
    <xf borderId="40" fillId="6" fontId="22" numFmtId="176" xfId="0" applyAlignment="1" applyBorder="1" applyFill="1" applyFont="1" applyNumberFormat="1">
      <alignment horizontal="center" readingOrder="0" shrinkToFit="0" vertical="center" wrapText="1"/>
    </xf>
    <xf borderId="40" fillId="6" fontId="22" numFmtId="49" xfId="0" applyAlignment="1" applyBorder="1" applyFill="1" applyFont="1" applyNumberFormat="1">
      <alignment horizontal="center" readingOrder="0" shrinkToFit="0" vertical="center" wrapText="0"/>
    </xf>
    <xf borderId="40" fillId="6" fontId="22" numFmtId="3" xfId="0" applyAlignment="1" applyBorder="1" applyFill="1" applyFont="1" applyNumberFormat="1">
      <alignment horizontal="center" readingOrder="0" shrinkToFit="0" vertical="center" wrapText="1"/>
    </xf>
    <xf borderId="40" fillId="6" fontId="22" numFmtId="175" xfId="0" applyAlignment="1" applyBorder="1" applyFill="1" applyFont="1" applyNumberFormat="1">
      <alignment horizontal="center" readingOrder="0" shrinkToFit="0" vertical="center" wrapText="1"/>
    </xf>
    <xf borderId="41" fillId="6" fontId="22" numFmtId="175" xfId="0" applyAlignment="1" applyBorder="1" applyFill="1" applyFont="1" applyNumberFormat="1">
      <alignment horizontal="center" readingOrder="0" shrinkToFit="0" vertical="center" wrapText="1"/>
    </xf>
    <xf borderId="42" fillId="19" fontId="21" numFmtId="0" xfId="0" applyAlignment="1" applyBorder="1" applyFill="1" applyFont="1">
      <alignment horizontal="center" readingOrder="0" shrinkToFit="0" vertical="center" wrapText="1"/>
    </xf>
    <xf borderId="42" fillId="6" fontId="22" numFmtId="0" xfId="0" applyAlignment="1" applyBorder="1" applyFill="1" applyFont="1">
      <alignment horizontal="center" readingOrder="0" vertical="center"/>
    </xf>
    <xf borderId="42" fillId="6" fontId="22" numFmtId="0" xfId="0" applyAlignment="1" applyBorder="1" applyFill="1" applyFont="1">
      <alignment horizontal="left" readingOrder="0" vertical="center"/>
    </xf>
    <xf borderId="42" fillId="6" fontId="22" numFmtId="177" xfId="0" applyAlignment="1" applyBorder="1" applyFill="1" applyFont="1" applyNumberFormat="1">
      <alignment horizontal="right" readingOrder="0" vertical="center"/>
    </xf>
    <xf borderId="42" fillId="6" fontId="22" numFmtId="178" xfId="0" applyAlignment="1" applyBorder="1" applyFill="1" applyFont="1" applyNumberFormat="1">
      <alignment horizontal="right" vertical="center"/>
    </xf>
    <xf borderId="42" fillId="6" fontId="22" numFmtId="179" xfId="0" applyAlignment="1" applyBorder="1" applyFill="1" applyFont="1" applyNumberFormat="1">
      <alignment horizontal="center" readingOrder="0" vertical="center"/>
    </xf>
    <xf borderId="42" fillId="21" fontId="22" numFmtId="0" xfId="0" applyAlignment="1" applyBorder="1" applyFill="1" applyFont="1">
      <alignment horizontal="center" readingOrder="0" vertical="center"/>
    </xf>
    <xf borderId="42" fillId="21" fontId="22" numFmtId="0" xfId="0" applyAlignment="1" applyBorder="1" applyFill="1" applyFont="1">
      <alignment horizontal="left" readingOrder="0" vertical="center"/>
    </xf>
    <xf borderId="42" fillId="21" fontId="22" numFmtId="177" xfId="0" applyAlignment="1" applyBorder="1" applyFill="1" applyFont="1" applyNumberFormat="1">
      <alignment horizontal="right" readingOrder="0" vertical="center"/>
    </xf>
    <xf borderId="42" fillId="21" fontId="22" numFmtId="178" xfId="0" applyAlignment="1" applyBorder="1" applyFill="1" applyFont="1" applyNumberFormat="1">
      <alignment horizontal="right" vertical="center"/>
    </xf>
    <xf borderId="42" fillId="21" fontId="22" numFmtId="179" xfId="0" applyAlignment="1" applyBorder="1" applyFill="1" applyFont="1" applyNumberFormat="1">
      <alignment horizontal="center" readingOrder="0" vertical="center"/>
    </xf>
    <xf borderId="34" fillId="19" fontId="21" numFmtId="0" xfId="0" applyAlignment="1" applyBorder="1" applyFill="1" applyFont="1">
      <alignment horizontal="center" readingOrder="0" shrinkToFit="0" vertical="center" wrapText="0"/>
    </xf>
    <xf borderId="36" fillId="5" fontId="22" numFmtId="0" xfId="0" applyAlignment="1" applyBorder="1" applyFill="1" applyFont="1">
      <alignment horizontal="center" readingOrder="0" shrinkToFit="0" vertical="center" wrapText="1"/>
    </xf>
    <xf borderId="37" fillId="5" fontId="22" numFmtId="0" xfId="0" applyAlignment="1" applyBorder="1" applyFill="1" applyFont="1">
      <alignment horizontal="center" readingOrder="0" shrinkToFit="0" vertical="center" wrapText="1"/>
    </xf>
    <xf borderId="37" fillId="6" fontId="22" numFmtId="180" xfId="0" applyAlignment="1" applyBorder="1" applyFill="1" applyFont="1" applyNumberFormat="1">
      <alignment horizontal="center" readingOrder="0" shrinkToFit="0" vertical="center" wrapText="0"/>
    </xf>
    <xf borderId="38" fillId="22" fontId="23" numFmtId="180" xfId="0" applyAlignment="1" applyBorder="1" applyFill="1" applyFont="1" applyNumberFormat="1">
      <alignment horizontal="center" shrinkToFit="0" vertical="center" wrapText="0"/>
    </xf>
    <xf borderId="36" fillId="5" fontId="22" numFmtId="0" xfId="0" applyAlignment="1" applyBorder="1" applyFill="1" applyFont="1">
      <alignment horizontal="center" readingOrder="0" shrinkToFit="0" vertical="center" wrapText="0"/>
    </xf>
    <xf borderId="37" fillId="5" fontId="22" numFmtId="0" xfId="0" applyAlignment="1" applyBorder="1" applyFill="1" applyFont="1">
      <alignment horizontal="center" readingOrder="0" shrinkToFit="0" vertical="center" wrapText="0"/>
    </xf>
    <xf borderId="39" fillId="5" fontId="22" numFmtId="0" xfId="0" applyAlignment="1" applyBorder="1" applyFill="1" applyFont="1">
      <alignment horizontal="center" readingOrder="0" shrinkToFit="0" vertical="center" wrapText="0"/>
    </xf>
    <xf borderId="40" fillId="5" fontId="22" numFmtId="0" xfId="0" applyAlignment="1" applyBorder="1" applyFill="1" applyFont="1">
      <alignment horizontal="center" readingOrder="0" shrinkToFit="0" vertical="center" wrapText="0"/>
    </xf>
    <xf borderId="40" fillId="6" fontId="22" numFmtId="180" xfId="0" applyAlignment="1" applyBorder="1" applyFill="1" applyFont="1" applyNumberFormat="1">
      <alignment horizontal="center" readingOrder="0" shrinkToFit="0" vertical="center" wrapText="0"/>
    </xf>
    <xf borderId="41" fillId="22" fontId="23" numFmtId="180" xfId="0" applyAlignment="1" applyBorder="1" applyFill="1" applyFont="1" applyNumberFormat="1">
      <alignment horizontal="center" shrinkToFit="0" vertical="center" wrapText="0"/>
    </xf>
    <xf borderId="37" fillId="6" fontId="22" numFmtId="181" xfId="0" applyAlignment="1" applyBorder="1" applyFill="1" applyFont="1" applyNumberFormat="1">
      <alignment horizontal="center" readingOrder="0" shrinkToFit="0" vertical="center" wrapText="1"/>
    </xf>
    <xf borderId="38" fillId="22" fontId="23" numFmtId="181" xfId="0" applyAlignment="1" applyBorder="1" applyFill="1" applyFont="1" applyNumberFormat="1">
      <alignment horizontal="center" shrinkToFit="0" vertical="center" wrapText="1"/>
    </xf>
    <xf borderId="37" fillId="6" fontId="22" numFmtId="181" xfId="0" applyAlignment="1" applyBorder="1" applyFill="1" applyFont="1" applyNumberFormat="1">
      <alignment horizontal="center" readingOrder="0" shrinkToFit="0" vertical="center" wrapText="0"/>
    </xf>
    <xf borderId="38" fillId="22" fontId="23" numFmtId="181" xfId="0" applyAlignment="1" applyBorder="1" applyFill="1" applyFont="1" applyNumberFormat="1">
      <alignment horizontal="center" shrinkToFit="0" vertical="center" wrapText="0"/>
    </xf>
    <xf borderId="40" fillId="6" fontId="22" numFmtId="181" xfId="0" applyAlignment="1" applyBorder="1" applyFill="1" applyFont="1" applyNumberFormat="1">
      <alignment horizontal="center" readingOrder="0" shrinkToFit="0" vertical="center" wrapText="0"/>
    </xf>
    <xf borderId="41" fillId="22" fontId="23" numFmtId="181" xfId="0" applyAlignment="1" applyBorder="1" applyFill="1" applyFont="1" applyNumberFormat="1">
      <alignment horizontal="center" shrinkToFit="0" vertical="center" wrapText="0"/>
    </xf>
    <xf borderId="33" fillId="19" fontId="21" numFmtId="0" xfId="0" applyAlignment="1" applyBorder="1" applyFill="1" applyFont="1">
      <alignment horizontal="center" readingOrder="0" shrinkToFit="0" vertical="center" wrapText="1"/>
    </xf>
    <xf borderId="34" fillId="19" fontId="21" numFmtId="0" xfId="0" applyAlignment="1" applyBorder="1" applyFill="1" applyFont="1">
      <alignment horizontal="center" readingOrder="0" shrinkToFit="0" vertical="center" wrapText="1"/>
    </xf>
    <xf borderId="35" fillId="19" fontId="21" numFmtId="0" xfId="0" applyAlignment="1" applyBorder="1" applyFill="1" applyFont="1">
      <alignment horizontal="center" readingOrder="0" shrinkToFit="0" vertical="center" wrapText="1"/>
    </xf>
    <xf borderId="36" fillId="6" fontId="24" numFmtId="0" xfId="0" applyAlignment="1" applyBorder="1" applyFill="1" applyFont="1">
      <alignment horizontal="center" readingOrder="0" shrinkToFit="0" vertical="center" wrapText="1"/>
    </xf>
    <xf borderId="37" fillId="6" fontId="24" numFmtId="169" xfId="0" applyAlignment="1" applyBorder="1" applyFill="1" applyFont="1" applyNumberFormat="1">
      <alignment horizontal="center" readingOrder="0" shrinkToFit="0" vertical="center" wrapText="1"/>
    </xf>
    <xf borderId="37" fillId="6" fontId="24" numFmtId="0" xfId="0" applyAlignment="1" applyBorder="1" applyFill="1" applyFont="1">
      <alignment horizontal="center" readingOrder="0" shrinkToFit="0" vertical="center" wrapText="1"/>
    </xf>
    <xf borderId="37" fillId="6" fontId="24" numFmtId="0" xfId="0" applyAlignment="1" applyBorder="1" applyFill="1" applyFont="1">
      <alignment horizontal="left" readingOrder="0" shrinkToFit="0" vertical="center" wrapText="1"/>
    </xf>
    <xf borderId="38" fillId="6" fontId="24" numFmtId="0" xfId="0" applyAlignment="1" applyBorder="1" applyFill="1" applyFont="1">
      <alignment horizontal="left" readingOrder="0" shrinkToFit="0" vertical="center" wrapText="1"/>
    </xf>
    <xf borderId="39" fillId="6" fontId="24" numFmtId="0" xfId="0" applyAlignment="1" applyBorder="1" applyFill="1" applyFont="1">
      <alignment horizontal="center" readingOrder="0" shrinkToFit="0" vertical="center" wrapText="1"/>
    </xf>
    <xf borderId="40" fillId="6" fontId="24" numFmtId="0" xfId="0" applyAlignment="1" applyBorder="1" applyFill="1" applyFont="1">
      <alignment horizontal="center" readingOrder="0" shrinkToFit="0" vertical="center" wrapText="1"/>
    </xf>
    <xf borderId="40" fillId="6" fontId="24" numFmtId="0" xfId="0" applyAlignment="1" applyBorder="1" applyFill="1" applyFont="1">
      <alignment horizontal="left" readingOrder="0" shrinkToFit="0" vertical="center" wrapText="1"/>
    </xf>
    <xf borderId="41" fillId="6" fontId="24" numFmtId="0" xfId="0" applyAlignment="1" applyBorder="1" applyFill="1" applyFont="1">
      <alignment horizontal="left" readingOrder="0" shrinkToFit="0" vertical="center" wrapText="1"/>
    </xf>
    <xf borderId="36" fillId="6" fontId="22" numFmtId="0" xfId="0" applyAlignment="1" applyBorder="1" applyFill="1" applyFont="1">
      <alignment horizontal="center" readingOrder="0" shrinkToFit="0" vertical="center" wrapText="1"/>
    </xf>
    <xf borderId="37" fillId="6" fontId="22" numFmtId="4" xfId="0" applyAlignment="1" applyBorder="1" applyFill="1" applyFont="1" applyNumberFormat="1">
      <alignment horizontal="center" readingOrder="0" shrinkToFit="0" vertical="center" wrapText="1"/>
    </xf>
    <xf borderId="37" fillId="6" fontId="22" numFmtId="182" xfId="0" applyAlignment="1" applyBorder="1" applyFill="1" applyFont="1" applyNumberFormat="1">
      <alignment horizontal="left" readingOrder="0" shrinkToFit="0" vertical="center" wrapText="1"/>
    </xf>
    <xf borderId="37" fillId="6" fontId="22" numFmtId="182" xfId="0" applyAlignment="1" applyBorder="1" applyFill="1" applyFont="1" applyNumberFormat="1">
      <alignment horizontal="center" readingOrder="0" shrinkToFit="0" vertical="center" wrapText="1"/>
    </xf>
    <xf borderId="37" fillId="6" fontId="22" numFmtId="3" xfId="0" applyAlignment="1" applyBorder="1" applyFill="1" applyFont="1" applyNumberFormat="1">
      <alignment horizontal="center" readingOrder="0" shrinkToFit="0" vertical="center" wrapText="1"/>
    </xf>
    <xf borderId="37" fillId="6" fontId="22" numFmtId="0" xfId="0" applyAlignment="1" applyBorder="1" applyFill="1" applyFont="1">
      <alignment horizontal="center" readingOrder="0" shrinkToFit="0" vertical="center" wrapText="1"/>
    </xf>
    <xf borderId="38" fillId="6" fontId="22" numFmtId="0" xfId="0" applyAlignment="1" applyBorder="1" applyFill="1" applyFont="1">
      <alignment horizontal="left" readingOrder="0" shrinkToFit="0" vertical="center" wrapText="1"/>
    </xf>
    <xf borderId="37" fillId="6" fontId="22" numFmtId="0" xfId="0" applyAlignment="1" applyBorder="1" applyFill="1" applyFont="1">
      <alignment horizontal="left" readingOrder="0" shrinkToFit="0" vertical="center" wrapText="1"/>
    </xf>
    <xf borderId="39" fillId="6" fontId="22" numFmtId="0" xfId="0" applyAlignment="1" applyBorder="1" applyFill="1" applyFont="1">
      <alignment horizontal="center" readingOrder="0" shrinkToFit="0" vertical="center" wrapText="1"/>
    </xf>
    <xf borderId="40" fillId="6" fontId="22" numFmtId="0" xfId="0" applyAlignment="1" applyBorder="1" applyFill="1" applyFont="1">
      <alignment horizontal="center" readingOrder="0" shrinkToFit="0" vertical="center" wrapText="1"/>
    </xf>
    <xf borderId="40" fillId="6" fontId="22" numFmtId="0" xfId="0" applyAlignment="1" applyBorder="1" applyFill="1" applyFont="1">
      <alignment horizontal="left" readingOrder="0" shrinkToFit="0" vertical="center" wrapText="1"/>
    </xf>
    <xf borderId="40" fillId="6" fontId="22" numFmtId="3" xfId="0" applyAlignment="1" applyBorder="1" applyFill="1" applyFont="1" applyNumberFormat="1">
      <alignment horizontal="center" readingOrder="0" shrinkToFit="0" vertical="center" wrapText="1"/>
    </xf>
    <xf borderId="41" fillId="6" fontId="22" numFmtId="0" xfId="0" applyAlignment="1" applyBorder="1" applyFill="1" applyFont="1">
      <alignment horizontal="left" readingOrder="0" shrinkToFit="0" vertical="center" wrapText="1"/>
    </xf>
    <xf borderId="37" fillId="23" fontId="25" numFmtId="0" xfId="0" applyAlignment="1" applyBorder="1" applyFill="1" applyFont="1">
      <alignment horizontal="center" readingOrder="0" shrinkToFit="0" vertical="center" wrapText="1"/>
    </xf>
    <xf borderId="40" fillId="23" fontId="2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4" fillId="6" fontId="7" numFmtId="165" xfId="0" applyAlignment="1" applyBorder="1" applyFill="1" applyFont="1" applyNumberFormat="1">
      <alignment horizontal="center" vertical="center"/>
    </xf>
    <xf borderId="4" fillId="6" fontId="9" numFmtId="167" xfId="0" applyAlignment="1" applyBorder="1" applyFill="1" applyFont="1" applyNumberFormat="1">
      <alignment horizontal="center" vertical="center"/>
    </xf>
    <xf borderId="4" fillId="6" fontId="10" numFmtId="183" xfId="0" applyAlignment="1" applyBorder="1" applyFill="1" applyFont="1" applyNumberFormat="1">
      <alignment horizontal="center" vertical="center"/>
    </xf>
    <xf borderId="23" fillId="0" fontId="13" numFmtId="0" xfId="0" applyAlignment="1" applyBorder="1" applyFont="1">
      <alignment readingOrder="0" vertic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C5221F"/>
      </font>
      <fill>
        <patternFill patternType="solid">
          <fgColor rgb="FFFCE8E6"/>
          <bgColor rgb="FFFCE8E6"/>
        </patternFill>
      </fill>
      <border/>
    </dxf>
    <dxf>
      <font>
        <color rgb="FFB06000"/>
      </font>
      <fill>
        <patternFill patternType="solid">
          <fgColor rgb="FFFEF7E0"/>
          <bgColor rgb="FFFEF7E0"/>
        </patternFill>
      </fill>
      <border/>
    </dxf>
    <dxf>
      <font/>
      <fill>
        <patternFill patternType="solid">
          <fgColor rgb="FF233A52"/>
          <bgColor rgb="FF233A52"/>
        </patternFill>
      </fill>
      <border/>
    </dxf>
    <dxf>
      <font/>
      <fill>
        <patternFill patternType="solid">
          <fgColor rgb="FFEFF4F8"/>
          <bgColor rgb="FFEFF4F8"/>
        </patternFill>
      </fill>
      <border/>
    </dxf>
    <dxf>
      <border>
        <left style="thin">
          <color rgb="FF233A52"/>
        </left>
        <right style="thin">
          <color rgb="FF233A52"/>
        </right>
        <top style="thin">
          <color rgb="FF233A52"/>
        </top>
        <bottom style="thin">
          <color rgb="FF233A52"/>
        </bottom>
      </border>
    </dxf>
    <dxf>
      <font/>
      <fill>
        <patternFill patternType="solid">
          <fgColor rgb="FF1A365D"/>
          <bgColor rgb="FF1A365D"/>
        </patternFill>
      </fill>
      <border/>
    </dxf>
    <dxf>
      <font/>
      <fill>
        <patternFill patternType="solid">
          <fgColor rgb="FFF7F9FB"/>
          <bgColor rgb="FFF7F9FB"/>
        </patternFill>
      </fill>
      <border/>
    </dxf>
    <dxf>
      <font>
        <b/>
        <color rgb="FF065F46"/>
      </font>
      <fill>
        <patternFill patternType="solid">
          <fgColor rgb="FFD1F9E5"/>
          <bgColor rgb="FFD1F9E5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991B1B"/>
      </font>
      <fill>
        <patternFill patternType="solid">
          <fgColor rgb="FFFDE1E1"/>
          <bgColor rgb="FFFDE1E1"/>
        </patternFill>
      </fill>
      <border/>
    </dxf>
    <dxf>
      <font>
        <b/>
        <color rgb="FF9B1C1C"/>
      </font>
      <fill>
        <patternFill patternType="solid">
          <fgColor rgb="FFFCE8E8"/>
          <bgColor rgb="FFFCE8E8"/>
        </patternFill>
      </fill>
      <border/>
    </dxf>
    <dxf>
      <font>
        <b/>
        <color rgb="FF703E12"/>
      </font>
      <fill>
        <patternFill patternType="solid">
          <fgColor rgb="FFFDEF89"/>
          <bgColor rgb="FFFDEF89"/>
        </patternFill>
      </fill>
      <border/>
    </dxf>
    <dxf>
      <font>
        <b/>
        <color rgb="FF03533E"/>
      </font>
      <fill>
        <patternFill patternType="solid">
          <fgColor rgb="FFDEF7EB"/>
          <bgColor rgb="FFDEF7EB"/>
        </patternFill>
      </fill>
      <border/>
    </dxf>
  </dxfs>
  <tableStyles count="10">
    <tableStyle count="4" pivot="0" name="Executive_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utive_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7" type="headerRow"/>
      <tableStyleElement dxfId="2" type="firstRowStripe"/>
      <tableStyleElement dxfId="8" type="secondRowStripe"/>
      <tableStyleElement dxfId="9" size="0" type="wholeTable"/>
    </tableStyle>
    <tableStyle count="4" pivot="0" name="fiat_transactions-style">
      <tableStyleElement dxfId="7" type="headerRow"/>
      <tableStyleElement dxfId="2" type="firstRowStripe"/>
      <tableStyleElement dxfId="8" type="secondRowStripe"/>
      <tableStyleElement dxfId="9" size="0" type="wholeTable"/>
    </tableStyle>
    <tableStyle count="4" pivot="0" name="crypto_transactions-style">
      <tableStyleElement dxfId="7" type="headerRow"/>
      <tableStyleElement dxfId="2" type="firstRowStripe"/>
      <tableStyleElement dxfId="8" type="secondRowStripe"/>
      <tableStyleElement dxfId="9" size="0" type="wholeTable"/>
    </tableStyle>
    <tableStyle count="4" pivot="0" name="expected_fiat_result-style">
      <tableStyleElement dxfId="10" type="headerRow"/>
      <tableStyleElement dxfId="2" type="firstRowStripe"/>
      <tableStyleElement dxfId="11" type="secondRowStripe"/>
      <tableStyleElement dxfId="9" size="0" type="wholeTable"/>
    </tableStyle>
    <tableStyle count="4" pivot="0" name="expected_crypto_result-style">
      <tableStyleElement dxfId="10" type="headerRow"/>
      <tableStyleElement dxfId="2" type="firstRowStripe"/>
      <tableStyleElement dxfId="11" type="secondRowStripe"/>
      <tableStyleElement dxfId="9" size="0" type="wholeTable"/>
    </tableStyle>
    <tableStyle count="3" pivot="0" name="data_rules-style">
      <tableStyleElement dxfId="10" type="headerRow"/>
      <tableStyleElement dxfId="2" type="firstRowStripe"/>
      <tableStyleElement dxfId="11" type="secondRowStripe"/>
    </tableStyle>
    <tableStyle count="3" pivot="0" name="qa_result-style">
      <tableStyleElement dxfId="10" type="headerRow"/>
      <tableStyleElement dxfId="2" type="firstRowStripe"/>
      <tableStyleElement dxfId="11" type="secondRowStripe"/>
    </tableStyle>
    <tableStyle count="3" pivot="0" name="fix_log-style">
      <tableStyleElement dxfId="10" type="headerRow"/>
      <tableStyleElement dxfId="2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202124"/>
                </a:solidFill>
                <a:latin typeface="Roboto"/>
              </a:defRPr>
            </a:pPr>
            <a:r>
              <a:rPr b="1" sz="1200">
                <a:solidFill>
                  <a:srgbClr val="202124"/>
                </a:solidFill>
                <a:latin typeface="Roboto"/>
              </a:rPr>
              <a:t>月度资金出入与净沉淀趋势 (Monthly Flow &amp; Net Retention Dynamics)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Executive_Dashboard!$Q$4</c:f>
            </c:strRef>
          </c:tx>
          <c:spPr>
            <a:solidFill>
              <a:srgbClr val="1B365D"/>
            </a:solidFill>
            <a:ln cmpd="sng">
              <a:noFill/>
            </a:ln>
          </c:spPr>
          <c:invertIfNegative val="0"/>
          <c:cat>
            <c:strRef>
              <c:f>Executive_Dashboard!$P$5:$P$17</c:f>
            </c:strRef>
          </c:cat>
          <c:val>
            <c:numRef>
              <c:f>Executive_Dashboard!$Q$5:$Q$17</c:f>
              <c:numCache/>
            </c:numRef>
          </c:val>
        </c:ser>
        <c:ser>
          <c:idx val="1"/>
          <c:order val="1"/>
          <c:tx>
            <c:strRef>
              <c:f>Executive_Dashboard!$R$4</c:f>
            </c:strRef>
          </c:tx>
          <c:spPr>
            <a:solidFill>
              <a:srgbClr val="D9534F"/>
            </a:solidFill>
            <a:ln cmpd="sng">
              <a:noFill/>
            </a:ln>
          </c:spPr>
          <c:invertIfNegative val="0"/>
          <c:cat>
            <c:strRef>
              <c:f>Executive_Dashboard!$P$5:$P$17</c:f>
            </c:strRef>
          </c:cat>
          <c:val>
            <c:numRef>
              <c:f>Executive_Dashboard!$R$5:$R$17</c:f>
              <c:numCache/>
            </c:numRef>
          </c:val>
        </c:ser>
        <c:axId val="771651120"/>
        <c:axId val="721424752"/>
      </c:barChart>
      <c:lineChart>
        <c:varyColors val="0"/>
        <c:ser>
          <c:idx val="2"/>
          <c:order val="2"/>
          <c:tx>
            <c:strRef>
              <c:f>Executive_Dashboard!$S$4</c:f>
            </c:strRef>
          </c:tx>
          <c:spPr>
            <a:ln cmpd="sng">
              <a:solidFill>
                <a:srgbClr val="00875A"/>
              </a:solidFill>
            </a:ln>
          </c:spPr>
          <c:marker>
            <c:symbol val="circle"/>
            <c:size val="5"/>
            <c:spPr>
              <a:solidFill>
                <a:srgbClr val="00875A"/>
              </a:solidFill>
              <a:ln cmpd="sng">
                <a:solidFill>
                  <a:srgbClr val="00875A"/>
                </a:solidFill>
              </a:ln>
            </c:spPr>
          </c:marker>
          <c:cat>
            <c:strRef>
              <c:f>Executive_Dashboard!$P$5:$P$17</c:f>
            </c:strRef>
          </c:cat>
          <c:val>
            <c:numRef>
              <c:f>Executive_Dashboard!$S$5:$S$17</c:f>
              <c:numCache/>
            </c:numRef>
          </c:val>
          <c:smooth val="0"/>
        </c:ser>
        <c:axId val="771651120"/>
        <c:axId val="721424752"/>
      </c:lineChart>
      <c:catAx>
        <c:axId val="77165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月份 (Month)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1424752"/>
      </c:catAx>
      <c:valAx>
        <c:axId val="721424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金额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16511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202124"/>
                </a:solidFill>
                <a:latin typeface="Roboto"/>
              </a:defRPr>
            </a:pPr>
            <a:r>
              <a:rPr b="1" sz="1200">
                <a:solidFill>
                  <a:srgbClr val="202124"/>
                </a:solidFill>
                <a:latin typeface="Roboto"/>
              </a:rPr>
              <a:t>主流公链 USDT 流入与流出对比 (USDT Network Distribution &amp; Net Flow)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Executive_Dashboard!$Q$21</c:f>
            </c:strRef>
          </c:tx>
          <c:spPr>
            <a:solidFill>
              <a:srgbClr val="1B365D"/>
            </a:solidFill>
            <a:ln cmpd="sng">
              <a:noFill/>
            </a:ln>
          </c:spPr>
          <c:invertIfNegative val="0"/>
          <c:cat>
            <c:strRef>
              <c:f>Executive_Dashboard!$P$22:$P$25</c:f>
            </c:strRef>
          </c:cat>
          <c:val>
            <c:numRef>
              <c:f>Executive_Dashboard!$Q$22:$Q$25</c:f>
              <c:numCache/>
            </c:numRef>
          </c:val>
        </c:ser>
        <c:ser>
          <c:idx val="1"/>
          <c:order val="1"/>
          <c:tx>
            <c:strRef>
              <c:f>Executive_Dashboard!$R$21</c:f>
            </c:strRef>
          </c:tx>
          <c:spPr>
            <a:solidFill>
              <a:srgbClr val="D9534F"/>
            </a:solidFill>
            <a:ln cmpd="sng">
              <a:noFill/>
            </a:ln>
          </c:spPr>
          <c:invertIfNegative val="0"/>
          <c:cat>
            <c:strRef>
              <c:f>Executive_Dashboard!$P$22:$P$25</c:f>
            </c:strRef>
          </c:cat>
          <c:val>
            <c:numRef>
              <c:f>Executive_Dashboard!$R$22:$R$25</c:f>
              <c:numCache/>
            </c:numRef>
          </c:val>
        </c:ser>
        <c:ser>
          <c:idx val="2"/>
          <c:order val="2"/>
          <c:tx>
            <c:strRef>
              <c:f>Executive_Dashboard!$S$21</c:f>
            </c:strRef>
          </c:tx>
          <c:spPr>
            <a:solidFill>
              <a:srgbClr val="00875A"/>
            </a:solidFill>
            <a:ln cmpd="sng">
              <a:noFill/>
            </a:ln>
          </c:spPr>
          <c:invertIfNegative val="0"/>
          <c:cat>
            <c:strRef>
              <c:f>Executive_Dashboard!$P$22:$P$25</c:f>
            </c:strRef>
          </c:cat>
          <c:val>
            <c:numRef>
              <c:f>Executive_Dashboard!$S$22:$S$25</c:f>
              <c:numCache/>
            </c:numRef>
          </c:val>
        </c:ser>
        <c:axId val="1625568231"/>
        <c:axId val="1643091847"/>
      </c:barChart>
      <c:catAx>
        <c:axId val="1625568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公链网络 (Network)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3091847"/>
      </c:catAx>
      <c:valAx>
        <c:axId val="1643091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USDT 金额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55682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月度资金出入金与净流入趋势 (Monthly Flow &amp; Net Retention Trend)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'_backup_20260924_111845'!$Q$3</c:f>
            </c:strRef>
          </c:tx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'_backup_20260924_111845'!$P$4:$P$16</c:f>
            </c:strRef>
          </c:cat>
          <c:val>
            <c:numRef>
              <c:f>'_backup_20260924_111845'!$Q$4:$Q$16</c:f>
              <c:numCache/>
            </c:numRef>
          </c:val>
        </c:ser>
        <c:ser>
          <c:idx val="1"/>
          <c:order val="1"/>
          <c:tx>
            <c:strRef>
              <c:f>'_backup_20260924_111845'!$R$3</c:f>
            </c:strRef>
          </c:tx>
          <c:spPr>
            <a:solidFill>
              <a:srgbClr val="D87259"/>
            </a:solidFill>
            <a:ln cmpd="sng">
              <a:noFill/>
            </a:ln>
          </c:spPr>
          <c:invertIfNegative val="0"/>
          <c:cat>
            <c:strRef>
              <c:f>'_backup_20260924_111845'!$P$4:$P$16</c:f>
            </c:strRef>
          </c:cat>
          <c:val>
            <c:numRef>
              <c:f>'_backup_20260924_111845'!$R$4:$R$16</c:f>
              <c:numCache/>
            </c:numRef>
          </c:val>
        </c:ser>
        <c:axId val="15520105"/>
        <c:axId val="211168827"/>
      </c:barChart>
      <c:lineChart>
        <c:varyColors val="0"/>
        <c:ser>
          <c:idx val="2"/>
          <c:order val="2"/>
          <c:tx>
            <c:strRef>
              <c:f>'_backup_20260924_111845'!$S$3</c:f>
            </c:strRef>
          </c:tx>
          <c:spPr>
            <a:ln cmpd="sng">
              <a:solidFill>
                <a:srgbClr val="1E9E60"/>
              </a:solidFill>
            </a:ln>
          </c:spPr>
          <c:marker>
            <c:symbol val="none"/>
          </c:marker>
          <c:cat>
            <c:strRef>
              <c:f>'_backup_20260924_111845'!$P$4:$P$16</c:f>
            </c:strRef>
          </c:cat>
          <c:val>
            <c:numRef>
              <c:f>'_backup_20260924_111845'!$S$4:$S$16</c:f>
              <c:numCache/>
            </c:numRef>
          </c:val>
          <c:smooth val="0"/>
        </c:ser>
        <c:axId val="15520105"/>
        <c:axId val="211168827"/>
      </c:lineChart>
      <c:catAx>
        <c:axId val="15520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月份 (Month)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68827"/>
      </c:catAx>
      <c:valAx>
        <c:axId val="211168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金额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01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主流公链 USDT 资金流向与净沉淀分布 (Public Chain USDT Flow &amp; Net Retention)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'_backup_20260924_111845'!$Q$19</c:f>
            </c:strRef>
          </c:tx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'_backup_20260924_111845'!$P$20:$P$22</c:f>
            </c:strRef>
          </c:cat>
          <c:val>
            <c:numRef>
              <c:f>'_backup_20260924_111845'!$Q$20:$Q$22</c:f>
              <c:numCache/>
            </c:numRef>
          </c:val>
        </c:ser>
        <c:ser>
          <c:idx val="1"/>
          <c:order val="1"/>
          <c:tx>
            <c:strRef>
              <c:f>'_backup_20260924_111845'!$R$19</c:f>
            </c:strRef>
          </c:tx>
          <c:spPr>
            <a:solidFill>
              <a:srgbClr val="D87259"/>
            </a:solidFill>
            <a:ln cmpd="sng">
              <a:noFill/>
            </a:ln>
          </c:spPr>
          <c:invertIfNegative val="0"/>
          <c:cat>
            <c:strRef>
              <c:f>'_backup_20260924_111845'!$P$20:$P$22</c:f>
            </c:strRef>
          </c:cat>
          <c:val>
            <c:numRef>
              <c:f>'_backup_20260924_111845'!$R$20:$R$22</c:f>
              <c:numCache/>
            </c:numRef>
          </c:val>
        </c:ser>
        <c:ser>
          <c:idx val="2"/>
          <c:order val="2"/>
          <c:tx>
            <c:strRef>
              <c:f>'_backup_20260924_111845'!$S$19</c:f>
            </c:strRef>
          </c:tx>
          <c:spPr>
            <a:solidFill>
              <a:srgbClr val="1E9E60"/>
            </a:solidFill>
            <a:ln cmpd="sng">
              <a:noFill/>
            </a:ln>
          </c:spPr>
          <c:invertIfNegative val="0"/>
          <c:cat>
            <c:strRef>
              <c:f>'_backup_20260924_111845'!$P$20:$P$22</c:f>
            </c:strRef>
          </c:cat>
          <c:val>
            <c:numRef>
              <c:f>'_backup_20260924_111845'!$S$20:$S$22</c:f>
              <c:numCache/>
            </c:numRef>
          </c:val>
        </c:ser>
        <c:axId val="192354319"/>
        <c:axId val="248861945"/>
      </c:barChart>
      <c:catAx>
        <c:axId val="192354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公链网络 (Network)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61945"/>
      </c:catAx>
      <c:valAx>
        <c:axId val="248861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USDT 金额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543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19050</xdr:rowOff>
    </xdr:from>
    <xdr:ext cx="6667500" cy="2524125"/>
    <xdr:graphicFrame>
      <xdr:nvGraphicFramePr>
        <xdr:cNvPr id="1" name="Chart 1" title="月度资金出入与净沉淀趋势 (Monthly Flow &amp; Net Retention Dynamic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19050</xdr:rowOff>
    </xdr:from>
    <xdr:ext cx="6477000" cy="2524125"/>
    <xdr:graphicFrame>
      <xdr:nvGraphicFramePr>
        <xdr:cNvPr id="2" name="Chart 2" title="主流公链 USDT 流入与流出对比 (USDT Network Distribution &amp; Net Flow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762750" cy="2476500"/>
    <xdr:graphicFrame>
      <xdr:nvGraphicFramePr>
        <xdr:cNvPr id="3" name="Chart 3" title="月度资金出入金与净流入趋势 (Monthly Flow &amp; Net Retention Trend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21</xdr:row>
      <xdr:rowOff>0</xdr:rowOff>
    </xdr:from>
    <xdr:ext cx="6477000" cy="2476500"/>
    <xdr:graphicFrame>
      <xdr:nvGraphicFramePr>
        <xdr:cNvPr id="4" name="Chart 4" title="主流公链 USDT 资金流向与净沉淀分布 (Public Chain USDT Flow &amp; Net Retention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P4:S17" displayName="Table1" name="Table1" id="1">
  <tableColumns count="4">
    <tableColumn name="月份 (Month)" id="1"/>
    <tableColumn name="充值入金 (Deposit)" id="2"/>
    <tableColumn name="提现出金 (Withdrawal)" id="3"/>
    <tableColumn name="净沉淀额 (Net Inflow)" id="4"/>
  </tableColumns>
  <tableStyleInfo name="Executive_Dashboard-style" showColumnStripes="0" showFirstColumn="1" showLastColumn="1" showRowStripes="1"/>
</table>
</file>

<file path=xl/tables/table2.xml><?xml version="1.0" encoding="utf-8"?>
<table xmlns="http://schemas.openxmlformats.org/spreadsheetml/2006/main" ref="P21:S25" displayName="Table2" name="Table2" id="2">
  <tableColumns count="4">
    <tableColumn name="公链网络 (Network)" id="1"/>
    <tableColumn name="充值入金 (Deposit)" id="2"/>
    <tableColumn name="提现出金 (Withdrawal)" id="3"/>
    <tableColumn name="净沉淀量 (Net Flow)" id="4"/>
  </tableColumns>
  <tableStyleInfo name="Executive_Dashboard-style 2" showColumnStripes="0" showFirstColumn="1" showLastColumn="1" showRowStripes="1"/>
</table>
</file>

<file path=xl/tables/table3.xml><?xml version="1.0" encoding="utf-8"?>
<table xmlns="http://schemas.openxmlformats.org/spreadsheetml/2006/main" ref="A1:G11" displayName="Customers" name="Customers" id="3">
  <tableColumns count="7">
    <tableColumn name="uid" id="1"/>
    <tableColumn name="user_name" id="2"/>
    <tableColumn name="country_code" id="3"/>
    <tableColumn name="base_fiat_currency" id="4"/>
    <tableColumn name="kyc_level" id="5"/>
    <tableColumn name="account_status" id="6"/>
    <tableColumn name="created_at" id="7"/>
  </tableColumns>
  <tableStyleInfo name="users-style" showColumnStripes="0" showFirstColumn="1" showLastColumn="1" showRowStripes="1"/>
</table>
</file>

<file path=xl/tables/table4.xml><?xml version="1.0" encoding="utf-8"?>
<table xmlns="http://schemas.openxmlformats.org/spreadsheetml/2006/main" ref="A1:J26" displayName="FiatOrders" name="FiatOrders" id="4">
  <tableColumns count="10">
    <tableColumn name="fiat_order_id" id="1"/>
    <tableColumn name="uid" id="2"/>
    <tableColumn name="direction" id="3"/>
    <tableColumn name="currency" id="4"/>
    <tableColumn name="amount" id="5"/>
    <tableColumn name="fee" id="6"/>
    <tableColumn name="channel" id="7"/>
    <tableColumn name="status" id="8"/>
    <tableColumn name="created_at" id="9"/>
    <tableColumn name="completed_at" id="10"/>
  </tableColumns>
  <tableStyleInfo name="fiat_transactions-style" showColumnStripes="0" showFirstColumn="1" showLastColumn="1" showRowStripes="1"/>
</table>
</file>

<file path=xl/tables/table5.xml><?xml version="1.0" encoding="utf-8"?>
<table xmlns="http://schemas.openxmlformats.org/spreadsheetml/2006/main" ref="A1:M26" displayName="链上转账" name="链上转账" id="5">
  <tableColumns count="13">
    <tableColumn name="crypto_order_id" id="1"/>
    <tableColumn name="uid" id="2"/>
    <tableColumn name="direction" id="3"/>
    <tableColumn name="asset" id="4"/>
    <tableColumn name="network" id="5"/>
    <tableColumn name="amount" id="6"/>
    <tableColumn name="fee" id="7"/>
    <tableColumn name="tx_hash" id="8"/>
    <tableColumn name="address" id="9"/>
    <tableColumn name="status" id="10"/>
    <tableColumn name="confirmations" id="11"/>
    <tableColumn name="created_at" id="12"/>
    <tableColumn name="completed_at" id="13"/>
  </tableColumns>
  <tableStyleInfo name="crypto_transactions-style" showColumnStripes="0" showFirstColumn="1" showLastColumn="1" showRowStripes="1"/>
</table>
</file>

<file path=xl/tables/table6.xml><?xml version="1.0" encoding="utf-8"?>
<table xmlns="http://schemas.openxmlformats.org/spreadsheetml/2006/main" ref="A1:E10" displayName="FiatChannelRef" name="FiatChannelRef" id="6">
  <tableColumns count="5">
    <tableColumn name="uid" id="1"/>
    <tableColumn name="currency" id="2"/>
    <tableColumn name="deposit_amount" id="3"/>
    <tableColumn name="withdrawal_amount" id="4"/>
    <tableColumn name="net_amount" id="5"/>
  </tableColumns>
  <tableStyleInfo name="expected_fiat_result-style" showColumnStripes="0" showFirstColumn="1" showLastColumn="1" showRowStripes="1"/>
</table>
</file>

<file path=xl/tables/table7.xml><?xml version="1.0" encoding="utf-8"?>
<table xmlns="http://schemas.openxmlformats.org/spreadsheetml/2006/main" ref="A1:F15" displayName="AssetNetworkRef" name="AssetNetworkRef" id="7">
  <tableColumns count="6">
    <tableColumn name="uid" id="1"/>
    <tableColumn name="asset" id="2"/>
    <tableColumn name="network" id="3"/>
    <tableColumn name="deposit_amount" id="4"/>
    <tableColumn name="withdrawal_amount" id="5"/>
    <tableColumn name="net_amount" id="6"/>
  </tableColumns>
  <tableStyleInfo name="expected_crypto_result-style" showColumnStripes="0" showFirstColumn="1" showLastColumn="1" showRowStripes="1"/>
</table>
</file>

<file path=xl/tables/table8.xml><?xml version="1.0" encoding="utf-8"?>
<table xmlns="http://schemas.openxmlformats.org/spreadsheetml/2006/main" ref="A1:I28" displayName="Table_1" name="Table_1" id="8">
  <tableColumns count="9">
    <tableColumn name="rule_id" id="1"/>
    <tableColumn name="table_name" id="2"/>
    <tableColumn name="column_name" id="3"/>
    <tableColumn name="data_type" id="4"/>
    <tableColumn name="is_nullable" id="5"/>
    <tableColumn name="is_unique" id="6"/>
    <tableColumn name="allowed_values_or_pattern" id="7"/>
    <tableColumn name="foreign_key" id="8"/>
    <tableColumn name="business_rule_description" id="9"/>
  </tableColumns>
  <tableStyleInfo name="data_rules-style" showColumnStripes="0" showFirstColumn="1" showLastColumn="1" showRowStripes="1"/>
</table>
</file>

<file path=xl/tables/table9.xml><?xml version="1.0" encoding="utf-8"?>
<table xmlns="http://schemas.openxmlformats.org/spreadsheetml/2006/main" ref="A1:H18" displayName="Table_2" name="Table_2" id="9">
  <tableColumns count="8">
    <tableColumn name="check_id" id="1"/>
    <tableColumn name="check_type" id="2"/>
    <tableColumn name="table_name" id="3"/>
    <tableColumn name="rule" id="4"/>
    <tableColumn name="result" id="5"/>
    <tableColumn name="affected_rows" id="6"/>
    <tableColumn name="severity" id="7"/>
    <tableColumn name="details" id="8"/>
  </tableColumns>
  <tableStyleInfo name="qa_result-style" showColumnStripes="0" showFirstColumn="1" showLastColumn="1" showRowStripes="1"/>
</table>
</file>

<file path=xl/tables/table10.xml><?xml version="1.0" encoding="utf-8"?>
<table xmlns="http://schemas.openxmlformats.org/spreadsheetml/2006/main" ref="A1:G6" displayName="Table_3" name="Table_3" id="10">
  <tableColumns count="7">
    <tableColumn name="fix_id" id="1"/>
    <tableColumn name="issue_description" id="2"/>
    <tableColumn name="root_cause" id="3"/>
    <tableColumn name="affected_table_and_records" id="4"/>
    <tableColumn name="corrective_action" id="5"/>
    <tableColumn name="regression_status" id="6"/>
    <tableColumn name="verified_by" id="7"/>
  </tableColumns>
  <tableStyleInfo name="fix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2.0"/>
    <col customWidth="1" min="3" max="3" width="13.88"/>
    <col customWidth="1" min="4" max="5" width="15.13"/>
    <col customWidth="1" min="6" max="7" width="17.0"/>
    <col customWidth="1" min="8" max="8" width="3.25"/>
    <col customWidth="1" min="9" max="10" width="14.5"/>
    <col customWidth="1" min="11" max="12" width="12.0"/>
    <col customWidth="1" min="13" max="13" width="17.0"/>
    <col customWidth="1" min="14" max="14" width="18.25"/>
    <col customWidth="1" min="15" max="15" width="3.25"/>
    <col customWidth="1" min="16" max="16" width="19.38"/>
    <col customWidth="1" min="17" max="17" width="24.0"/>
    <col customWidth="1" min="18" max="18" width="26.88"/>
    <col customWidth="1" min="19" max="19" width="26.13"/>
  </cols>
  <sheetData>
    <row r="1" ht="10.5" customHeight="1"/>
    <row r="2" ht="28.5" customHeight="1">
      <c r="B2" s="1" t="s">
        <v>0</v>
      </c>
      <c r="P2" s="2" t="s">
        <v>1</v>
      </c>
    </row>
    <row r="3" ht="18.0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P3" s="4"/>
      <c r="Q3" s="4"/>
      <c r="R3" s="4"/>
      <c r="S3" s="4"/>
    </row>
    <row r="4" ht="18.0" customHeight="1">
      <c r="B4" s="3" t="s">
        <v>2</v>
      </c>
      <c r="P4" s="5" t="s">
        <v>3</v>
      </c>
      <c r="Q4" s="5" t="s">
        <v>4</v>
      </c>
      <c r="R4" s="5" t="s">
        <v>5</v>
      </c>
      <c r="S4" s="5" t="s">
        <v>6</v>
      </c>
    </row>
    <row r="5">
      <c r="P5" s="6">
        <f>DATE(2024, 12, 1)</f>
        <v>45627</v>
      </c>
      <c r="Q5" s="7">
        <f>SUMIFS(fiat_transactions!$E$2:$E$26, fiat_transactions!$D$2:$D$26, "USD", fiat_transactions!$C$2:$C$26, "deposit", fiat_transactions!$H$2:$H$26, "completed", fiat_transactions!$I$2:$I$26, "&gt;="&amp;$P5, fiat_transactions!$I$2:$I$26, "&lt;"&amp;EDATE($P5, 1)) + SUMIFS(crypto_transactions!$F$2:$F$26, crypto_transactions!$D$2:$D$26, "USDT", crypto_transactions!$C$2:$C$26, "deposit", crypto_transactions!$J$2:$J$26, "completed", crypto_transactions!$L$2:$L$26, "&gt;="&amp;$P5, crypto_transactions!$L$2:$L$26, "&lt;"&amp;EDATE($P5, 1))</f>
        <v>300</v>
      </c>
      <c r="R5" s="7">
        <f>SUMIFS(fiat_transactions!$E$2:$E$26, fiat_transactions!$D$2:$D$26, "USD", fiat_transactions!$C$2:$C$26, "withdrawal", fiat_transactions!$H$2:$H$26, "completed", fiat_transactions!$I$2:$I$26, "&gt;="&amp;$P5, fiat_transactions!$I$2:$I$26, "&lt;"&amp;EDATE($P5, 1)) + SUMIFS(crypto_transactions!$F$2:$F$26, crypto_transactions!$D$2:$D$26, "USDT", crypto_transactions!$C$2:$C$26, "withdrawal", crypto_transactions!$J$2:$J$26, "completed", crypto_transactions!$L$2:$L$26, "&gt;="&amp;$P5, crypto_transactions!$L$2:$L$26, "&lt;"&amp;EDATE($P5, 1))</f>
        <v>0</v>
      </c>
      <c r="S5" s="7">
        <f t="shared" ref="S5:S17" si="1">Q5-R5</f>
        <v>300</v>
      </c>
    </row>
    <row r="6" ht="16.5" customHeight="1">
      <c r="B6" s="8" t="s">
        <v>7</v>
      </c>
      <c r="C6" s="9"/>
      <c r="D6" s="10"/>
      <c r="E6" s="8" t="s">
        <v>8</v>
      </c>
      <c r="F6" s="9"/>
      <c r="G6" s="10"/>
      <c r="H6" s="11"/>
      <c r="I6" s="8" t="s">
        <v>9</v>
      </c>
      <c r="J6" s="9"/>
      <c r="K6" s="10"/>
      <c r="L6" s="8" t="s">
        <v>10</v>
      </c>
      <c r="M6" s="9"/>
      <c r="N6" s="10"/>
      <c r="P6" s="6">
        <f>DATE(2025, 1, 1)</f>
        <v>45658</v>
      </c>
      <c r="Q6" s="7">
        <f>SUMIFS(fiat_transactions!$E$2:$E$26, fiat_transactions!$D$2:$D$26, "USD", fiat_transactions!$C$2:$C$26, "deposit", fiat_transactions!$H$2:$H$26, "completed", fiat_transactions!$I$2:$I$26, "&gt;="&amp;$P6, fiat_transactions!$I$2:$I$26, "&lt;"&amp;EDATE($P6, 1)) + SUMIFS(crypto_transactions!$F$2:$F$26, crypto_transactions!$D$2:$D$26, "USDT", crypto_transactions!$C$2:$C$26, "deposit", crypto_transactions!$J$2:$J$26, "completed", crypto_transactions!$L$2:$L$26, "&gt;="&amp;$P6, crypto_transactions!$L$2:$L$26, "&lt;"&amp;EDATE($P6, 1))</f>
        <v>53500</v>
      </c>
      <c r="R6" s="7">
        <f>SUMIFS(fiat_transactions!$E$2:$E$26, fiat_transactions!$D$2:$D$26, "USD", fiat_transactions!$C$2:$C$26, "withdrawal", fiat_transactions!$H$2:$H$26, "completed", fiat_transactions!$I$2:$I$26, "&gt;="&amp;$P6, fiat_transactions!$I$2:$I$26, "&lt;"&amp;EDATE($P6, 1)) + SUMIFS(crypto_transactions!$F$2:$F$26, crypto_transactions!$D$2:$D$26, "USDT", crypto_transactions!$C$2:$C$26, "withdrawal", crypto_transactions!$J$2:$J$26, "completed", crypto_transactions!$L$2:$L$26, "&gt;="&amp;$P6, crypto_transactions!$L$2:$L$26, "&lt;"&amp;EDATE($P6, 1))</f>
        <v>0</v>
      </c>
      <c r="S6" s="7">
        <f t="shared" si="1"/>
        <v>53500</v>
      </c>
    </row>
    <row r="7">
      <c r="B7" s="12">
        <f>SUMIFS(fiat_transactions!E:E, fiat_transactions!D:D, "USD", fiat_transactions!H:H, "completed")</f>
        <v>104270</v>
      </c>
      <c r="D7" s="13"/>
      <c r="E7" s="14" t="str">
        <f>"13,000 USDT"</f>
        <v>13,000 USDT</v>
      </c>
      <c r="G7" s="13"/>
      <c r="I7" s="15">
        <f>(COUNTIF(fiat_transactions!H:H, "completed") + COUNTIF(crypto_transactions!J:J, "completed")) / ((COUNTA(fiat_transactions!A:A)-1) + (COUNTA(crypto_transactions!A:A)-1))</f>
        <v>0.86</v>
      </c>
      <c r="K7" s="13"/>
      <c r="L7" s="16">
        <f>SUMIFS(fiat_transactions!E:E, fiat_transactions!D:D, "USD", fiat_transactions!C:C, "deposit", fiat_transactions!H:H, "completed") - SUMIFS(fiat_transactions!E:E, fiat_transactions!D:D, "USD", fiat_transactions!C:C, "withdrawal", fiat_transactions!H:H, "completed")</f>
        <v>47730</v>
      </c>
      <c r="N7" s="13"/>
      <c r="P7" s="6">
        <f>DATE(2025, 2, 1)</f>
        <v>45689</v>
      </c>
      <c r="Q7" s="7">
        <f>SUMIFS(fiat_transactions!$E$2:$E$26, fiat_transactions!$D$2:$D$26, "USD", fiat_transactions!$C$2:$C$26, "deposit", fiat_transactions!$H$2:$H$26, "completed", fiat_transactions!$I$2:$I$26, "&gt;="&amp;$P7, fiat_transactions!$I$2:$I$26, "&lt;"&amp;EDATE($P7, 1)) + SUMIFS(crypto_transactions!$F$2:$F$26, crypto_transactions!$D$2:$D$26, "USDT", crypto_transactions!$C$2:$C$26, "deposit", crypto_transactions!$J$2:$J$26, "completed", crypto_transactions!$L$2:$L$26, "&gt;="&amp;$P7, crypto_transactions!$L$2:$L$26, "&lt;"&amp;EDATE($P7, 1))</f>
        <v>400</v>
      </c>
      <c r="R7" s="7">
        <f>SUMIFS(fiat_transactions!$E$2:$E$26, fiat_transactions!$D$2:$D$26, "USD", fiat_transactions!$C$2:$C$26, "withdrawal", fiat_transactions!$H$2:$H$26, "completed", fiat_transactions!$I$2:$I$26, "&gt;="&amp;$P7, fiat_transactions!$I$2:$I$26, "&lt;"&amp;EDATE($P7, 1)) + SUMIFS(crypto_transactions!$F$2:$F$26, crypto_transactions!$D$2:$D$26, "USDT", crypto_transactions!$C$2:$C$26, "withdrawal", crypto_transactions!$J$2:$J$26, "completed", crypto_transactions!$L$2:$L$26, "&gt;="&amp;$P7, crypto_transactions!$L$2:$L$26, "&lt;"&amp;EDATE($P7, 1))</f>
        <v>12500</v>
      </c>
      <c r="S7" s="7">
        <f t="shared" si="1"/>
        <v>-12100</v>
      </c>
    </row>
    <row r="8" ht="13.5" customHeight="1">
      <c r="B8" s="17" t="str">
        <f>"已完成 9 笔 USD / 全币种 21 笔"</f>
        <v>已完成 9 笔 USD / 全币种 21 笔</v>
      </c>
      <c r="D8" s="13"/>
      <c r="E8" s="17" t="str">
        <f>"已完成 15 笔 USDT / 覆盖 4 大公链"</f>
        <v>已完成 15 笔 USDT / 覆盖 4 大公链</v>
      </c>
      <c r="G8" s="13"/>
      <c r="H8" s="18"/>
      <c r="I8" s="17" t="str">
        <f>"43 笔成功 / 7 笔异常或挂起"</f>
        <v>43 笔成功 / 7 笔异常或挂起</v>
      </c>
      <c r="K8" s="13"/>
      <c r="L8" s="19" t="s">
        <v>11</v>
      </c>
      <c r="N8" s="13"/>
      <c r="P8" s="6">
        <f>DATE(2025, 3, 1)</f>
        <v>45717</v>
      </c>
      <c r="Q8" s="7">
        <f>SUMIFS(fiat_transactions!$E$2:$E$26, fiat_transactions!$D$2:$D$26, "USD", fiat_transactions!$C$2:$C$26, "deposit", fiat_transactions!$H$2:$H$26, "completed", fiat_transactions!$I$2:$I$26, "&gt;="&amp;$P8, fiat_transactions!$I$2:$I$26, "&lt;"&amp;EDATE($P8, 1)) + SUMIFS(crypto_transactions!$F$2:$F$26, crypto_transactions!$D$2:$D$26, "USDT", crypto_transactions!$C$2:$C$26, "deposit", crypto_transactions!$J$2:$J$26, "completed", crypto_transactions!$L$2:$L$26, "&gt;="&amp;$P8, crypto_transactions!$L$2:$L$26, "&lt;"&amp;EDATE($P8, 1))</f>
        <v>1000</v>
      </c>
      <c r="R8" s="7">
        <f>SUMIFS(fiat_transactions!$E$2:$E$26, fiat_transactions!$D$2:$D$26, "USD", fiat_transactions!$C$2:$C$26, "withdrawal", fiat_transactions!$H$2:$H$26, "completed", fiat_transactions!$I$2:$I$26, "&gt;="&amp;$P8, fiat_transactions!$I$2:$I$26, "&lt;"&amp;EDATE($P8, 1)) + SUMIFS(crypto_transactions!$F$2:$F$26, crypto_transactions!$D$2:$D$26, "USDT", crypto_transactions!$C$2:$C$26, "withdrawal", crypto_transactions!$J$2:$J$26, "completed", crypto_transactions!$L$2:$L$26, "&gt;="&amp;$P8, crypto_transactions!$L$2:$L$26, "&lt;"&amp;EDATE($P8, 1))</f>
        <v>600</v>
      </c>
      <c r="S8" s="7">
        <f t="shared" si="1"/>
        <v>400</v>
      </c>
    </row>
    <row r="9">
      <c r="B9" s="20" t="str">
        <f>"通道手续费创收: $" &amp; TEXT(SUM(fiat_transactions!F2:F26), "0.00")</f>
        <v>通道手续费创收: $150.50</v>
      </c>
      <c r="C9" s="21"/>
      <c r="D9" s="22"/>
      <c r="E9" s="20" t="str">
        <f>"链上手续费创收: " &amp; TEXT(SUMIFS(crypto_transactions!G2:G26, crypto_transactions!D2:D26, "USDT"), "0.00") &amp; " USDT"</f>
        <v>链上手续费创收: 10.90 USDT</v>
      </c>
      <c r="F9" s="21"/>
      <c r="G9" s="22"/>
      <c r="H9" s="18"/>
      <c r="I9" s="20" t="str">
        <f>"质检合规率: 100% (17/17 项规则)"</f>
        <v>质检合规率: 100% (17/17 项规则)</v>
      </c>
      <c r="J9" s="21"/>
      <c r="K9" s="22"/>
      <c r="L9" s="20" t="str">
        <f>"USDT 净沉淀: +3,000.00 USDT"</f>
        <v>USDT 净沉淀: +3,000.00 USDT</v>
      </c>
      <c r="M9" s="21"/>
      <c r="N9" s="22"/>
      <c r="P9" s="6">
        <f>DATE(2025, 4, 1)</f>
        <v>45748</v>
      </c>
      <c r="Q9" s="7">
        <f>SUMIFS(fiat_transactions!$E$2:$E$26, fiat_transactions!$D$2:$D$26, "USD", fiat_transactions!$C$2:$C$26, "deposit", fiat_transactions!$H$2:$H$26, "completed", fiat_transactions!$I$2:$I$26, "&gt;="&amp;$P9, fiat_transactions!$I$2:$I$26, "&lt;"&amp;EDATE($P9, 1)) + SUMIFS(crypto_transactions!$F$2:$F$26, crypto_transactions!$D$2:$D$26, "USDT", crypto_transactions!$C$2:$C$26, "deposit", crypto_transactions!$J$2:$J$26, "completed", crypto_transactions!$L$2:$L$26, "&gt;="&amp;$P9, crypto_transactions!$L$2:$L$26, "&lt;"&amp;EDATE($P9, 1))</f>
        <v>700</v>
      </c>
      <c r="R9" s="7">
        <f>SUMIFS(fiat_transactions!$E$2:$E$26, fiat_transactions!$D$2:$D$26, "USD", fiat_transactions!$C$2:$C$26, "withdrawal", fiat_transactions!$H$2:$H$26, "completed", fiat_transactions!$I$2:$I$26, "&gt;="&amp;$P9, fiat_transactions!$I$2:$I$26, "&lt;"&amp;EDATE($P9, 1)) + SUMIFS(crypto_transactions!$F$2:$F$26, crypto_transactions!$D$2:$D$26, "USDT", crypto_transactions!$C$2:$C$26, "withdrawal", crypto_transactions!$J$2:$J$26, "completed", crypto_transactions!$L$2:$L$26, "&gt;="&amp;$P9, crypto_transactions!$L$2:$L$26, "&lt;"&amp;EDATE($P9, 1))</f>
        <v>1950</v>
      </c>
      <c r="S9" s="7">
        <f t="shared" si="1"/>
        <v>-1250</v>
      </c>
    </row>
    <row r="10">
      <c r="P10" s="6">
        <f>DATE(2025, 5, 1)</f>
        <v>45778</v>
      </c>
      <c r="Q10" s="7">
        <f>SUMIFS(fiat_transactions!$E$2:$E$26, fiat_transactions!$D$2:$D$26, "USD", fiat_transactions!$C$2:$C$26, "deposit", fiat_transactions!$H$2:$H$26, "completed", fiat_transactions!$I$2:$I$26, "&gt;="&amp;$P10, fiat_transactions!$I$2:$I$26, "&lt;"&amp;EDATE($P10, 1)) + SUMIFS(crypto_transactions!$F$2:$F$26, crypto_transactions!$D$2:$D$26, "USDT", crypto_transactions!$C$2:$C$26, "deposit", crypto_transactions!$J$2:$J$26, "completed", crypto_transactions!$L$2:$L$26, "&gt;="&amp;$P10, crypto_transactions!$L$2:$L$26, "&lt;"&amp;EDATE($P10, 1))</f>
        <v>0</v>
      </c>
      <c r="R10" s="7">
        <f>SUMIFS(fiat_transactions!$E$2:$E$26, fiat_transactions!$D$2:$D$26, "USD", fiat_transactions!$C$2:$C$26, "withdrawal", fiat_transactions!$H$2:$H$26, "completed", fiat_transactions!$I$2:$I$26, "&gt;="&amp;$P10, fiat_transactions!$I$2:$I$26, "&lt;"&amp;EDATE($P10, 1)) + SUMIFS(crypto_transactions!$F$2:$F$26, crypto_transactions!$D$2:$D$26, "USDT", crypto_transactions!$C$2:$C$26, "withdrawal", crypto_transactions!$J$2:$J$26, "completed", crypto_transactions!$L$2:$L$26, "&gt;="&amp;$P10, crypto_transactions!$L$2:$L$26, "&lt;"&amp;EDATE($P10, 1))</f>
        <v>0</v>
      </c>
      <c r="S10" s="7">
        <f t="shared" si="1"/>
        <v>0</v>
      </c>
    </row>
    <row r="11" ht="21.0" customHeight="1">
      <c r="B11" s="23" t="s">
        <v>12</v>
      </c>
      <c r="C11" s="24"/>
      <c r="D11" s="24"/>
      <c r="E11" s="24"/>
      <c r="F11" s="24"/>
      <c r="G11" s="25"/>
      <c r="I11" s="23" t="s">
        <v>13</v>
      </c>
      <c r="J11" s="24"/>
      <c r="K11" s="24"/>
      <c r="L11" s="24"/>
      <c r="M11" s="24"/>
      <c r="N11" s="25"/>
      <c r="P11" s="6">
        <f>DATE(2025, 6, 1)</f>
        <v>45809</v>
      </c>
      <c r="Q11" s="7">
        <f>SUMIFS(fiat_transactions!$E$2:$E$26, fiat_transactions!$D$2:$D$26, "USD", fiat_transactions!$C$2:$C$26, "deposit", fiat_transactions!$H$2:$H$26, "completed", fiat_transactions!$I$2:$I$26, "&gt;="&amp;$P11, fiat_transactions!$I$2:$I$26, "&lt;"&amp;EDATE($P11, 1)) + SUMIFS(crypto_transactions!$F$2:$F$26, crypto_transactions!$D$2:$D$26, "USDT", crypto_transactions!$C$2:$C$26, "deposit", crypto_transactions!$J$2:$J$26, "completed", crypto_transactions!$L$2:$L$26, "&gt;="&amp;$P11, crypto_transactions!$L$2:$L$26, "&lt;"&amp;EDATE($P11, 1))</f>
        <v>25000</v>
      </c>
      <c r="R11" s="7">
        <f>SUMIFS(fiat_transactions!$E$2:$E$26, fiat_transactions!$D$2:$D$26, "USD", fiat_transactions!$C$2:$C$26, "withdrawal", fiat_transactions!$H$2:$H$26, "completed", fiat_transactions!$I$2:$I$26, "&gt;="&amp;$P11, fiat_transactions!$I$2:$I$26, "&lt;"&amp;EDATE($P11, 1)) + SUMIFS(crypto_transactions!$F$2:$F$26, crypto_transactions!$D$2:$D$26, "USDT", crypto_transactions!$C$2:$C$26, "withdrawal", crypto_transactions!$J$2:$J$26, "completed", crypto_transactions!$L$2:$L$26, "&gt;="&amp;$P11, crypto_transactions!$L$2:$L$26, "&lt;"&amp;EDATE($P11, 1))</f>
        <v>5000</v>
      </c>
      <c r="S11" s="7">
        <f t="shared" si="1"/>
        <v>20000</v>
      </c>
    </row>
    <row r="12" ht="18.0" customHeight="1">
      <c r="B12" s="26" t="s">
        <v>14</v>
      </c>
      <c r="C12" s="27" t="s">
        <v>15</v>
      </c>
      <c r="D12" s="27" t="s">
        <v>4</v>
      </c>
      <c r="E12" s="27" t="s">
        <v>5</v>
      </c>
      <c r="F12" s="27" t="s">
        <v>16</v>
      </c>
      <c r="G12" s="28" t="s">
        <v>17</v>
      </c>
      <c r="H12" s="29"/>
      <c r="I12" s="26" t="s">
        <v>18</v>
      </c>
      <c r="J12" s="27" t="s">
        <v>19</v>
      </c>
      <c r="K12" s="27" t="s">
        <v>20</v>
      </c>
      <c r="L12" s="27" t="s">
        <v>21</v>
      </c>
      <c r="M12" s="27" t="s">
        <v>22</v>
      </c>
      <c r="N12" s="28" t="s">
        <v>23</v>
      </c>
      <c r="P12" s="6">
        <f>DATE(2025, 7, 1)</f>
        <v>45839</v>
      </c>
      <c r="Q12" s="7">
        <f>SUMIFS(fiat_transactions!$E$2:$E$26, fiat_transactions!$D$2:$D$26, "USD", fiat_transactions!$C$2:$C$26, "deposit", fiat_transactions!$H$2:$H$26, "completed", fiat_transactions!$I$2:$I$26, "&gt;="&amp;$P12, fiat_transactions!$I$2:$I$26, "&lt;"&amp;EDATE($P12, 1)) + SUMIFS(crypto_transactions!$F$2:$F$26, crypto_transactions!$D$2:$D$26, "USDT", crypto_transactions!$C$2:$C$26, "deposit", crypto_transactions!$J$2:$J$26, "completed", crypto_transactions!$L$2:$L$26, "&gt;="&amp;$P12, crypto_transactions!$L$2:$L$26, "&lt;"&amp;EDATE($P12, 1))</f>
        <v>0</v>
      </c>
      <c r="R12" s="7">
        <f>SUMIFS(fiat_transactions!$E$2:$E$26, fiat_transactions!$D$2:$D$26, "USD", fiat_transactions!$C$2:$C$26, "withdrawal", fiat_transactions!$H$2:$H$26, "completed", fiat_transactions!$I$2:$I$26, "&gt;="&amp;$P12, fiat_transactions!$I$2:$I$26, "&lt;"&amp;EDATE($P12, 1)) + SUMIFS(crypto_transactions!$F$2:$F$26, crypto_transactions!$D$2:$D$26, "USDT", crypto_transactions!$C$2:$C$26, "withdrawal", crypto_transactions!$J$2:$J$26, "completed", crypto_transactions!$L$2:$L$26, "&gt;="&amp;$P12, crypto_transactions!$L$2:$L$26, "&lt;"&amp;EDATE($P12, 1))</f>
        <v>0</v>
      </c>
      <c r="S12" s="7">
        <f t="shared" si="1"/>
        <v>0</v>
      </c>
    </row>
    <row r="13" ht="15.0" customHeight="1">
      <c r="B13" s="30" t="s">
        <v>24</v>
      </c>
      <c r="C13" s="31" t="s">
        <v>25</v>
      </c>
      <c r="D13" s="32">
        <f>SUMIFS(fiat_transactions!$E$2:$E$26, fiat_transactions!$D$2:$D$26, "USD", fiat_transactions!$C$2:$C$26, "deposit", fiat_transactions!$H$2:$H$26, "completed")</f>
        <v>76000</v>
      </c>
      <c r="E13" s="32">
        <f>SUMIFS(fiat_transactions!$E$2:$E$26, fiat_transactions!$D$2:$D$26, "USD", fiat_transactions!$C$2:$C$26, "withdrawal", fiat_transactions!$H$2:$H$26, "completed")</f>
        <v>28270</v>
      </c>
      <c r="F13" s="32">
        <f t="shared" ref="F13:F19" si="2">D13-E13</f>
        <v>47730</v>
      </c>
      <c r="G13" s="33" t="str">
        <f t="shared" ref="G13:G19" si="3">IF(F13&gt;0,"🟢 净流入",IF(F13=0,"⚪ 持平","🔴 净流出"))</f>
        <v>🟢 净流入</v>
      </c>
      <c r="I13" s="30" t="s">
        <v>26</v>
      </c>
      <c r="J13" s="31" t="s">
        <v>27</v>
      </c>
      <c r="K13" s="34">
        <f>COUNTIF(fiat_transactions!G2:G26, "wire_transfer")</f>
        <v>6</v>
      </c>
      <c r="L13" s="35">
        <f>COUNTIFS(fiat_transactions!G2:G26, "wire_transfer", fiat_transactions!H2:H26, "completed") / K13</f>
        <v>0.8333333333</v>
      </c>
      <c r="M13" s="35">
        <f t="shared" ref="M13:M19" si="4">1 - L13</f>
        <v>0.1666666667</v>
      </c>
      <c r="N13" s="36">
        <f>SUMIF(fiat_transactions!G2:G26, "wire_transfer", fiat_transactions!F2:F26)</f>
        <v>120</v>
      </c>
      <c r="P13" s="6">
        <f>DATE(2025, 8, 1)</f>
        <v>45870</v>
      </c>
      <c r="Q13" s="7">
        <f>SUMIFS(fiat_transactions!$E$2:$E$26, fiat_transactions!$D$2:$D$26, "USD", fiat_transactions!$C$2:$C$26, "deposit", fiat_transactions!$H$2:$H$26, "completed", fiat_transactions!$I$2:$I$26, "&gt;="&amp;$P13, fiat_transactions!$I$2:$I$26, "&lt;"&amp;EDATE($P13, 1)) + SUMIFS(crypto_transactions!$F$2:$F$26, crypto_transactions!$D$2:$D$26, "USDT", crypto_transactions!$C$2:$C$26, "deposit", crypto_transactions!$J$2:$J$26, "completed", crypto_transactions!$L$2:$L$26, "&gt;="&amp;$P13, crypto_transactions!$L$2:$L$26, "&lt;"&amp;EDATE($P13, 1))</f>
        <v>600</v>
      </c>
      <c r="R13" s="7">
        <f>SUMIFS(fiat_transactions!$E$2:$E$26, fiat_transactions!$D$2:$D$26, "USD", fiat_transactions!$C$2:$C$26, "withdrawal", fiat_transactions!$H$2:$H$26, "completed", fiat_transactions!$I$2:$I$26, "&gt;="&amp;$P13, fiat_transactions!$I$2:$I$26, "&lt;"&amp;EDATE($P13, 1)) + SUMIFS(crypto_transactions!$F$2:$F$26, crypto_transactions!$D$2:$D$26, "USDT", crypto_transactions!$C$2:$C$26, "withdrawal", crypto_transactions!$J$2:$J$26, "completed", crypto_transactions!$L$2:$L$26, "&gt;="&amp;$P13, crypto_transactions!$L$2:$L$26, "&lt;"&amp;EDATE($P13, 1))</f>
        <v>0</v>
      </c>
      <c r="S13" s="7">
        <f t="shared" si="1"/>
        <v>600</v>
      </c>
    </row>
    <row r="14" ht="15.0" customHeight="1">
      <c r="B14" s="37" t="s">
        <v>28</v>
      </c>
      <c r="C14" s="38" t="s">
        <v>25</v>
      </c>
      <c r="D14" s="39">
        <f>SUMIFS(fiat_transactions!$E$2:$E$26, fiat_transactions!$D$2:$D$26, "EUR", fiat_transactions!$C$2:$C$26, "deposit", fiat_transactions!$H$2:$H$26, "completed")</f>
        <v>9500</v>
      </c>
      <c r="E14" s="39">
        <f>SUMIFS(fiat_transactions!$E$2:$E$26, fiat_transactions!$D$2:$D$26, "EUR", fiat_transactions!$C$2:$C$26, "withdrawal", fiat_transactions!$H$2:$H$26, "completed")</f>
        <v>500</v>
      </c>
      <c r="F14" s="39">
        <f t="shared" si="2"/>
        <v>9000</v>
      </c>
      <c r="G14" s="40" t="str">
        <f t="shared" si="3"/>
        <v>🟢 净流入</v>
      </c>
      <c r="I14" s="37" t="s">
        <v>29</v>
      </c>
      <c r="J14" s="38" t="s">
        <v>30</v>
      </c>
      <c r="K14" s="41">
        <f>COUNTIF(fiat_transactions!G2:G26, "ach")</f>
        <v>5</v>
      </c>
      <c r="L14" s="42">
        <f>COUNTIFS(fiat_transactions!G2:G26, "ach", fiat_transactions!H2:H26, "completed") / K14</f>
        <v>0.8</v>
      </c>
      <c r="M14" s="42">
        <f t="shared" si="4"/>
        <v>0.2</v>
      </c>
      <c r="N14" s="43">
        <f>SUMIF(fiat_transactions!G2:G26, "ach", fiat_transactions!F2:F26)</f>
        <v>7</v>
      </c>
      <c r="P14" s="6">
        <f>DATE(2025, 9, 1)</f>
        <v>45901</v>
      </c>
      <c r="Q14" s="7">
        <f>SUMIFS(fiat_transactions!$E$2:$E$26, fiat_transactions!$D$2:$D$26, "USD", fiat_transactions!$C$2:$C$26, "deposit", fiat_transactions!$H$2:$H$26, "completed", fiat_transactions!$I$2:$I$26, "&gt;="&amp;$P14, fiat_transactions!$I$2:$I$26, "&lt;"&amp;EDATE($P14, 1)) + SUMIFS(crypto_transactions!$F$2:$F$26, crypto_transactions!$D$2:$D$26, "USDT", crypto_transactions!$C$2:$C$26, "deposit", crypto_transactions!$J$2:$J$26, "completed", crypto_transactions!$L$2:$L$26, "&gt;="&amp;$P14, crypto_transactions!$L$2:$L$26, "&lt;"&amp;EDATE($P14, 1))</f>
        <v>0</v>
      </c>
      <c r="R14" s="7">
        <f>SUMIFS(fiat_transactions!$E$2:$E$26, fiat_transactions!$D$2:$D$26, "USD", fiat_transactions!$C$2:$C$26, "withdrawal", fiat_transactions!$H$2:$H$26, "completed", fiat_transactions!$I$2:$I$26, "&gt;="&amp;$P14, fiat_transactions!$I$2:$I$26, "&lt;"&amp;EDATE($P14, 1)) + SUMIFS(crypto_transactions!$F$2:$F$26, crypto_transactions!$D$2:$D$26, "USDT", crypto_transactions!$C$2:$C$26, "withdrawal", crypto_transactions!$J$2:$J$26, "completed", crypto_transactions!$L$2:$L$26, "&gt;="&amp;$P14, crypto_transactions!$L$2:$L$26, "&lt;"&amp;EDATE($P14, 1))</f>
        <v>11100</v>
      </c>
      <c r="S14" s="7">
        <f t="shared" si="1"/>
        <v>-11100</v>
      </c>
    </row>
    <row r="15" ht="15.0" customHeight="1">
      <c r="B15" s="30" t="s">
        <v>31</v>
      </c>
      <c r="C15" s="31" t="s">
        <v>25</v>
      </c>
      <c r="D15" s="44">
        <f>SUMIFS(fiat_transactions!$E$2:$E$26, fiat_transactions!$D$2:$D$26, "GBP", fiat_transactions!$C$2:$C$26, "deposit", fiat_transactions!$H$2:$H$26, "completed")</f>
        <v>3000</v>
      </c>
      <c r="E15" s="44">
        <f>SUMIFS(fiat_transactions!$E$2:$E$26, fiat_transactions!$D$2:$D$26, "GBP", fiat_transactions!$C$2:$C$26, "withdrawal", fiat_transactions!$H$2:$H$26, "completed")</f>
        <v>2000</v>
      </c>
      <c r="F15" s="44">
        <f t="shared" si="2"/>
        <v>1000</v>
      </c>
      <c r="G15" s="33" t="str">
        <f t="shared" si="3"/>
        <v>🟢 净流入</v>
      </c>
      <c r="I15" s="30" t="s">
        <v>32</v>
      </c>
      <c r="J15" s="31" t="s">
        <v>33</v>
      </c>
      <c r="K15" s="34">
        <f>COUNTIF(fiat_transactions!G2:G26, "sepa_instant")</f>
        <v>4</v>
      </c>
      <c r="L15" s="35">
        <f>COUNTIFS(fiat_transactions!G2:G26, "sepa_instant", fiat_transactions!H2:H26, "completed") / K15</f>
        <v>0.75</v>
      </c>
      <c r="M15" s="35">
        <f t="shared" si="4"/>
        <v>0.25</v>
      </c>
      <c r="N15" s="36">
        <f>SUMIF(fiat_transactions!G2:G26, "sepa_instant", fiat_transactions!F2:F26)</f>
        <v>3</v>
      </c>
      <c r="P15" s="6">
        <f>DATE(2025, 10, 1)</f>
        <v>45931</v>
      </c>
      <c r="Q15" s="7">
        <f>SUMIFS(fiat_transactions!$E$2:$E$26, fiat_transactions!$D$2:$D$26, "USD", fiat_transactions!$C$2:$C$26, "deposit", fiat_transactions!$H$2:$H$26, "completed", fiat_transactions!$I$2:$I$26, "&gt;="&amp;$P15, fiat_transactions!$I$2:$I$26, "&lt;"&amp;EDATE($P15, 1)) + SUMIFS(crypto_transactions!$F$2:$F$26, crypto_transactions!$D$2:$D$26, "USDT", crypto_transactions!$C$2:$C$26, "deposit", crypto_transactions!$J$2:$J$26, "completed", crypto_transactions!$L$2:$L$26, "&gt;="&amp;$P15, crypto_transactions!$L$2:$L$26, "&lt;"&amp;EDATE($P15, 1))</f>
        <v>1000</v>
      </c>
      <c r="R15" s="7">
        <f>SUMIFS(fiat_transactions!$E$2:$E$26, fiat_transactions!$D$2:$D$26, "USD", fiat_transactions!$C$2:$C$26, "withdrawal", fiat_transactions!$H$2:$H$26, "completed", fiat_transactions!$I$2:$I$26, "&gt;="&amp;$P15, fiat_transactions!$I$2:$I$26, "&lt;"&amp;EDATE($P15, 1)) + SUMIFS(crypto_transactions!$F$2:$F$26, crypto_transactions!$D$2:$D$26, "USDT", crypto_transactions!$C$2:$C$26, "withdrawal", crypto_transactions!$J$2:$J$26, "completed", crypto_transactions!$L$2:$L$26, "&gt;="&amp;$P15, crypto_transactions!$L$2:$L$26, "&lt;"&amp;EDATE($P15, 1))</f>
        <v>20</v>
      </c>
      <c r="S15" s="7">
        <f t="shared" si="1"/>
        <v>980</v>
      </c>
    </row>
    <row r="16" ht="15.0" customHeight="1">
      <c r="B16" s="37" t="s">
        <v>34</v>
      </c>
      <c r="C16" s="38" t="s">
        <v>25</v>
      </c>
      <c r="D16" s="45">
        <f>SUMIFS(fiat_transactions!$E$2:$E$26, fiat_transactions!$D$2:$D$26, "BRL", fiat_transactions!$C$2:$C$26, "deposit", fiat_transactions!$H$2:$H$26, "completed")</f>
        <v>2500</v>
      </c>
      <c r="E16" s="45">
        <f>SUMIFS(fiat_transactions!$E$2:$E$26, fiat_transactions!$D$2:$D$26, "BRL", fiat_transactions!$C$2:$C$26, "withdrawal", fiat_transactions!$H$2:$H$26, "completed")</f>
        <v>2500</v>
      </c>
      <c r="F16" s="45">
        <f t="shared" si="2"/>
        <v>0</v>
      </c>
      <c r="G16" s="40" t="str">
        <f t="shared" si="3"/>
        <v>⚪ 持平</v>
      </c>
      <c r="I16" s="37" t="s">
        <v>35</v>
      </c>
      <c r="J16" s="38" t="s">
        <v>36</v>
      </c>
      <c r="K16" s="41">
        <f>COUNTIF(fiat_transactions!G2:G26, "faster_payments")</f>
        <v>4</v>
      </c>
      <c r="L16" s="42">
        <f>COUNTIFS(fiat_transactions!G2:G26, "faster_payments", fiat_transactions!H2:H26, "completed") / K16</f>
        <v>0.75</v>
      </c>
      <c r="M16" s="42">
        <f t="shared" si="4"/>
        <v>0.25</v>
      </c>
      <c r="N16" s="43">
        <f>SUMIF(fiat_transactions!G2:G26, "faster_payments", fiat_transactions!F2:F26)</f>
        <v>2</v>
      </c>
      <c r="P16" s="6">
        <f>DATE(2025, 11, 1)</f>
        <v>45962</v>
      </c>
      <c r="Q16" s="7">
        <f>SUMIFS(fiat_transactions!$E$2:$E$26, fiat_transactions!$D$2:$D$26, "USD", fiat_transactions!$C$2:$C$26, "deposit", fiat_transactions!$H$2:$H$26, "completed", fiat_transactions!$I$2:$I$26, "&gt;="&amp;$P16, fiat_transactions!$I$2:$I$26, "&lt;"&amp;EDATE($P16, 1)) + SUMIFS(crypto_transactions!$F$2:$F$26, crypto_transactions!$D$2:$D$26, "USDT", crypto_transactions!$C$2:$C$26, "deposit", crypto_transactions!$J$2:$J$26, "completed", crypto_transactions!$L$2:$L$26, "&gt;="&amp;$P16, crypto_transactions!$L$2:$L$26, "&lt;"&amp;EDATE($P16, 1))</f>
        <v>0</v>
      </c>
      <c r="R16" s="7">
        <f>SUMIFS(fiat_transactions!$E$2:$E$26, fiat_transactions!$D$2:$D$26, "USD", fiat_transactions!$C$2:$C$26, "withdrawal", fiat_transactions!$H$2:$H$26, "completed", fiat_transactions!$I$2:$I$26, "&gt;="&amp;$P16, fiat_transactions!$I$2:$I$26, "&lt;"&amp;EDATE($P16, 1)) + SUMIFS(crypto_transactions!$F$2:$F$26, crypto_transactions!$D$2:$D$26, "USDT", crypto_transactions!$C$2:$C$26, "withdrawal", crypto_transactions!$J$2:$J$26, "completed", crypto_transactions!$L$2:$L$26, "&gt;="&amp;$P16, crypto_transactions!$L$2:$L$26, "&lt;"&amp;EDATE($P16, 1))</f>
        <v>300</v>
      </c>
      <c r="S16" s="7">
        <f t="shared" si="1"/>
        <v>-300</v>
      </c>
    </row>
    <row r="17" ht="15.0" customHeight="1">
      <c r="B17" s="30" t="s">
        <v>37</v>
      </c>
      <c r="C17" s="31" t="s">
        <v>25</v>
      </c>
      <c r="D17" s="46">
        <f>SUMIFS(fiat_transactions!$E$2:$E$26, fiat_transactions!$D$2:$D$26, "TRY", fiat_transactions!$C$2:$C$26, "deposit", fiat_transactions!$H$2:$H$26, "completed")</f>
        <v>15000</v>
      </c>
      <c r="E17" s="46">
        <f>SUMIFS(fiat_transactions!$E$2:$E$26, fiat_transactions!$D$2:$D$26, "TRY", fiat_transactions!$C$2:$C$26, "withdrawal", fiat_transactions!$H$2:$H$26, "completed")</f>
        <v>6000</v>
      </c>
      <c r="F17" s="46">
        <f t="shared" si="2"/>
        <v>9000</v>
      </c>
      <c r="G17" s="33" t="str">
        <f t="shared" si="3"/>
        <v>🟢 净流入</v>
      </c>
      <c r="I17" s="30" t="s">
        <v>38</v>
      </c>
      <c r="J17" s="31" t="s">
        <v>39</v>
      </c>
      <c r="K17" s="34">
        <f>COUNTIF(crypto_transactions!E2:E26, "TRON")</f>
        <v>11</v>
      </c>
      <c r="L17" s="35">
        <f>COUNTIFS(crypto_transactions!E2:E26, "TRON", crypto_transactions!J2:J26, "completed") / K17</f>
        <v>1</v>
      </c>
      <c r="M17" s="35">
        <f t="shared" si="4"/>
        <v>0</v>
      </c>
      <c r="N17" s="36">
        <f>SUMIF(crypto_transactions!E2:E26, "TRON", crypto_transactions!G2:G26)</f>
        <v>4</v>
      </c>
      <c r="P17" s="6">
        <f>DATE(2025, 12, 1)</f>
        <v>45992</v>
      </c>
      <c r="Q17" s="7">
        <f>SUMIFS(fiat_transactions!$E$2:$E$26, fiat_transactions!$D$2:$D$26, "USD", fiat_transactions!$C$2:$C$26, "deposit", fiat_transactions!$H$2:$H$26, "completed", fiat_transactions!$I$2:$I$26, "&gt;="&amp;$P17, fiat_transactions!$I$2:$I$26, "&lt;"&amp;EDATE($P17, 1)) + SUMIFS(crypto_transactions!$F$2:$F$26, crypto_transactions!$D$2:$D$26, "USDT", crypto_transactions!$C$2:$C$26, "deposit", crypto_transactions!$J$2:$J$26, "completed", crypto_transactions!$L$2:$L$26, "&gt;="&amp;$P17, crypto_transactions!$L$2:$L$26, "&lt;"&amp;EDATE($P17, 1))</f>
        <v>1000</v>
      </c>
      <c r="R17" s="7">
        <f>SUMIFS(fiat_transactions!$E$2:$E$26, fiat_transactions!$D$2:$D$26, "USD", fiat_transactions!$C$2:$C$26, "withdrawal", fiat_transactions!$H$2:$H$26, "completed", fiat_transactions!$I$2:$I$26, "&gt;="&amp;$P17, fiat_transactions!$I$2:$I$26, "&lt;"&amp;EDATE($P17, 1)) + SUMIFS(crypto_transactions!$F$2:$F$26, crypto_transactions!$D$2:$D$26, "USDT", crypto_transactions!$C$2:$C$26, "withdrawal", crypto_transactions!$J$2:$J$26, "completed", crypto_transactions!$L$2:$L$26, "&gt;="&amp;$P17, crypto_transactions!$L$2:$L$26, "&lt;"&amp;EDATE($P17, 1))</f>
        <v>1800</v>
      </c>
      <c r="S17" s="7">
        <f t="shared" si="1"/>
        <v>-800</v>
      </c>
    </row>
    <row r="18" ht="15.0" customHeight="1">
      <c r="B18" s="37" t="s">
        <v>40</v>
      </c>
      <c r="C18" s="38" t="s">
        <v>41</v>
      </c>
      <c r="D18" s="47">
        <f>SUMIFS(crypto_transactions!$F$2:$F$26, crypto_transactions!$D$2:$D$26, "USDT", crypto_transactions!$C$2:$C$26, "deposit", crypto_transactions!$J$2:$J$26, "completed")</f>
        <v>8000</v>
      </c>
      <c r="E18" s="47">
        <f>SUMIFS(crypto_transactions!$F$2:$F$26, crypto_transactions!$D$2:$D$26, "USDT", crypto_transactions!$C$2:$C$26, "withdrawal", crypto_transactions!$J$2:$J$26, "completed")</f>
        <v>5000</v>
      </c>
      <c r="F18" s="47">
        <f t="shared" si="2"/>
        <v>3000</v>
      </c>
      <c r="G18" s="40" t="str">
        <f t="shared" si="3"/>
        <v>🟢 净流入</v>
      </c>
      <c r="I18" s="37" t="s">
        <v>42</v>
      </c>
      <c r="J18" s="38" t="s">
        <v>43</v>
      </c>
      <c r="K18" s="41">
        <f>COUNTIF(crypto_transactions!E2:E26, "ETHEREUM")</f>
        <v>4</v>
      </c>
      <c r="L18" s="42">
        <f>COUNTIFS(crypto_transactions!E2:E26, "ETHEREUM", crypto_transactions!J2:J26, "completed") / K18</f>
        <v>1</v>
      </c>
      <c r="M18" s="42">
        <f t="shared" si="4"/>
        <v>0</v>
      </c>
      <c r="N18" s="43">
        <f>SUMIFS(crypto_transactions!G2:G26, crypto_transactions!E2:E26, "ETHEREUM", crypto_transactions!D2:D26, "USDT")</f>
        <v>5</v>
      </c>
    </row>
    <row r="19" ht="15.0" customHeight="1">
      <c r="B19" s="30" t="s">
        <v>44</v>
      </c>
      <c r="C19" s="31" t="s">
        <v>41</v>
      </c>
      <c r="D19" s="48">
        <f>SUMIFS(crypto_transactions!$F$2:$F$26, crypto_transactions!$D$2:$D$26, "BTC", crypto_transactions!$C$2:$C$26, "deposit", crypto_transactions!$J$2:$J$26, "completed")</f>
        <v>0.081</v>
      </c>
      <c r="E19" s="48">
        <f>SUMIFS(crypto_transactions!$F$2:$F$26, crypto_transactions!$D$2:$D$26, "BTC", crypto_transactions!$C$2:$C$26, "withdrawal", crypto_transactions!$J$2:$J$26, "completed")</f>
        <v>0.02</v>
      </c>
      <c r="F19" s="48">
        <f t="shared" si="2"/>
        <v>0.061</v>
      </c>
      <c r="G19" s="33" t="str">
        <f t="shared" si="3"/>
        <v>🟢 净流入</v>
      </c>
      <c r="I19" s="30" t="s">
        <v>45</v>
      </c>
      <c r="J19" s="31" t="s">
        <v>46</v>
      </c>
      <c r="K19" s="34">
        <f>COUNTIF(crypto_transactions!E2:E26, "BSC")</f>
        <v>4</v>
      </c>
      <c r="L19" s="35">
        <f>COUNTIFS(crypto_transactions!E2:E26, "BSC", crypto_transactions!J2:J26, "completed") / K19</f>
        <v>0.5</v>
      </c>
      <c r="M19" s="35">
        <f t="shared" si="4"/>
        <v>0.5</v>
      </c>
      <c r="N19" s="36">
        <f>SUMIF(crypto_transactions!E2:E26, "BSC", crypto_transactions!G2:G26)</f>
        <v>1.6</v>
      </c>
      <c r="P19" s="2" t="s">
        <v>47</v>
      </c>
    </row>
    <row r="20">
      <c r="B20" s="49"/>
      <c r="C20" s="50"/>
      <c r="D20" s="51"/>
      <c r="E20" s="51"/>
      <c r="F20" s="51"/>
      <c r="G20" s="52"/>
      <c r="I20" s="49"/>
      <c r="J20" s="50"/>
      <c r="K20" s="53"/>
      <c r="L20" s="54"/>
      <c r="M20" s="54"/>
      <c r="N20" s="55"/>
      <c r="P20" s="4"/>
      <c r="Q20" s="4"/>
      <c r="R20" s="4"/>
      <c r="S20" s="4"/>
    </row>
    <row r="21" ht="15.0" customHeight="1">
      <c r="B21" s="56" t="s">
        <v>48</v>
      </c>
      <c r="C21" s="57" t="s">
        <v>41</v>
      </c>
      <c r="D21" s="58">
        <f>SUMIFS(crypto_transactions!$F$2:$F$26, crypto_transactions!$D$2:$D$26, "ETH", crypto_transactions!$C$2:$C$26, "deposit", crypto_transactions!$J$2:$J$26, "completed")</f>
        <v>0.6</v>
      </c>
      <c r="E21" s="58">
        <f>SUMIFS(crypto_transactions!$F$2:$F$26, crypto_transactions!$D$2:$D$26, "ETH", crypto_transactions!$C$2:$C$26, "withdrawal", crypto_transactions!$J$2:$J$26, "completed")</f>
        <v>0.1</v>
      </c>
      <c r="F21" s="58">
        <f>D21-E21</f>
        <v>0.5</v>
      </c>
      <c r="G21" s="59" t="str">
        <f>IF(F21&gt;0,"🟢 净流入",IF(F21=0,"⚪ 持平","🔴 净流出"))</f>
        <v>🟢 净流入</v>
      </c>
      <c r="I21" s="56" t="s">
        <v>49</v>
      </c>
      <c r="J21" s="57" t="s">
        <v>50</v>
      </c>
      <c r="K21" s="60">
        <f>COUNTIF(crypto_transactions!E2:E26, "ARBITRUM")</f>
        <v>2</v>
      </c>
      <c r="L21" s="61">
        <f>COUNTIFS(crypto_transactions!E2:E26, "ARBITRUM", crypto_transactions!J2:J26, "completed") / K21</f>
        <v>0.5</v>
      </c>
      <c r="M21" s="61">
        <f>1 - L21</f>
        <v>0.5</v>
      </c>
      <c r="N21" s="62">
        <f>SUMIF(crypto_transactions!E2:E26, "ARBITRUM", crypto_transactions!G2:G26)</f>
        <v>0.3</v>
      </c>
      <c r="P21" s="5" t="s">
        <v>51</v>
      </c>
      <c r="Q21" s="5" t="s">
        <v>4</v>
      </c>
      <c r="R21" s="5" t="s">
        <v>5</v>
      </c>
      <c r="S21" s="5" t="s">
        <v>52</v>
      </c>
    </row>
    <row r="22">
      <c r="P22" s="63" t="s">
        <v>38</v>
      </c>
      <c r="Q22" s="7">
        <f>SUMIFS(crypto_transactions!$F$2:$F$26, crypto_transactions!$E$2:$E$26, "TRON", crypto_transactions!$D$2:$D$26, "USDT", crypto_transactions!$C$2:$C$26, "deposit", crypto_transactions!$J$2:$J$26, "completed")</f>
        <v>7000</v>
      </c>
      <c r="R22" s="7">
        <f>SUMIFS(crypto_transactions!$F$2:$F$26, crypto_transactions!$E$2:$E$26, "TRON", crypto_transactions!$D$2:$D$26, "USDT", crypto_transactions!$C$2:$C$26, "withdrawal", crypto_transactions!$J$2:$J$26, "completed")</f>
        <v>3200</v>
      </c>
      <c r="S22" s="7">
        <f t="shared" ref="S22:S25" si="5">Q22-R22</f>
        <v>3800</v>
      </c>
    </row>
    <row r="23" ht="21.0" customHeight="1">
      <c r="B23" s="2" t="s">
        <v>53</v>
      </c>
      <c r="I23" s="2" t="s">
        <v>54</v>
      </c>
      <c r="P23" s="63" t="s">
        <v>42</v>
      </c>
      <c r="Q23" s="7">
        <f>SUMIFS(crypto_transactions!$F$2:$F$26, crypto_transactions!$E$2:$E$26, "ETHEREUM", crypto_transactions!$D$2:$D$26, "USDT", crypto_transactions!$C$2:$C$26, "deposit", crypto_transactions!$J$2:$J$26, "completed")</f>
        <v>0</v>
      </c>
      <c r="R23" s="7">
        <f>SUMIFS(crypto_transactions!$F$2:$F$26, crypto_transactions!$E$2:$E$26, "ETHEREUM", crypto_transactions!$D$2:$D$26, "USDT", crypto_transactions!$C$2:$C$26, "withdrawal", crypto_transactions!$J$2:$J$26, "completed")</f>
        <v>1500</v>
      </c>
      <c r="S23" s="7">
        <f t="shared" si="5"/>
        <v>-1500</v>
      </c>
    </row>
    <row r="24" ht="16.5" customHeight="1">
      <c r="P24" s="63" t="s">
        <v>45</v>
      </c>
      <c r="Q24" s="7">
        <f>SUMIFS(crypto_transactions!$F$2:$F$26, crypto_transactions!$E$2:$E$26, "BSC", crypto_transactions!$D$2:$D$26, "USDT", crypto_transactions!$C$2:$C$26, "deposit", crypto_transactions!$J$2:$J$26, "completed")</f>
        <v>600</v>
      </c>
      <c r="R24" s="7">
        <f>SUMIFS(crypto_transactions!$F$2:$F$26, crypto_transactions!$E$2:$E$26, "BSC", crypto_transactions!$D$2:$D$26, "USDT", crypto_transactions!$C$2:$C$26, "withdrawal", crypto_transactions!$J$2:$J$26, "completed")</f>
        <v>300</v>
      </c>
      <c r="S24" s="7">
        <f t="shared" si="5"/>
        <v>300</v>
      </c>
    </row>
    <row r="25" ht="16.5" customHeight="1">
      <c r="P25" s="63" t="s">
        <v>49</v>
      </c>
      <c r="Q25" s="7">
        <f>SUMIFS(crypto_transactions!$F$2:$F$26, crypto_transactions!$E$2:$E$26, "ARBITRUM", crypto_transactions!$D$2:$D$26, "USDT", crypto_transactions!$C$2:$C$26, "deposit", crypto_transactions!$J$2:$J$26, "completed")</f>
        <v>400</v>
      </c>
      <c r="R25" s="7">
        <f>SUMIFS(crypto_transactions!$F$2:$F$26, crypto_transactions!$E$2:$E$26, "ARBITRUM", crypto_transactions!$D$2:$D$26, "USDT", crypto_transactions!$C$2:$C$26, "withdrawal", crypto_transactions!$J$2:$J$26, "completed")</f>
        <v>0</v>
      </c>
      <c r="S25" s="7">
        <f t="shared" si="5"/>
        <v>400</v>
      </c>
    </row>
    <row r="26" ht="16.5" customHeight="1">
      <c r="P26" s="4"/>
      <c r="Q26" s="64"/>
      <c r="R26" s="64"/>
      <c r="S26" s="64"/>
    </row>
    <row r="27" ht="16.5" customHeight="1">
      <c r="P27" s="65" t="s">
        <v>55</v>
      </c>
    </row>
    <row r="28" ht="16.5" customHeight="1">
      <c r="P28" s="66" t="s">
        <v>56</v>
      </c>
      <c r="Q28" s="66" t="s">
        <v>57</v>
      </c>
      <c r="R28" s="66" t="s">
        <v>58</v>
      </c>
      <c r="S28" s="66" t="s">
        <v>59</v>
      </c>
      <c r="T28" s="66" t="s">
        <v>60</v>
      </c>
      <c r="U28" s="66" t="s">
        <v>61</v>
      </c>
      <c r="V28" s="66" t="s">
        <v>62</v>
      </c>
      <c r="W28" s="66" t="s">
        <v>63</v>
      </c>
    </row>
    <row r="29" ht="16.5" customHeight="1">
      <c r="P29" s="67" t="str">
        <f>users!A2</f>
        <v>784231905</v>
      </c>
      <c r="Q29" s="68" t="str">
        <f>users!B2</f>
        <v>Alice Chen</v>
      </c>
      <c r="R29" s="69" t="str">
        <f>users!C2</f>
        <v>DE</v>
      </c>
      <c r="S29" s="69">
        <f>users!E2</f>
        <v>2</v>
      </c>
      <c r="T29" s="70">
        <f>(SUMIFS(fiat_transactions!$E$2:$E$26, fiat_transactions!$B$2:$B$26, P29, fiat_transactions!$C$2:$C$26, "deposit", fiat_transactions!$H$2:$H$26, "completed") * VLOOKUP(users!D2, exchange_rates!$A$2:$E$9, 5, FALSE)) + (SUMIFS(crypto_transactions!$F$2:$F$26, crypto_transactions!$B$2:$B$26, P29, crypto_transactions!$C$2:$C$26, "deposit", crypto_transactions!$J$2:$J$26, "completed", crypto_transactions!$D$2:$D$26, "USDT") * VLOOKUP("USDT", exchange_rates!$A$2:$E$9, 5, FALSE)) + (SUMIFS(crypto_transactions!$F$2:$F$26, crypto_transactions!$B$2:$B$26, P29, crypto_transactions!$C$2:$C$26, "deposit", crypto_transactions!$J$2:$J$26, "completed", crypto_transactions!$D$2:$D$26, "BTC") * VLOOKUP("BTC", exchange_rates!$A$2:$E$9, 5, FALSE)) + (SUMIFS(crypto_transactions!$F$2:$F$26, crypto_transactions!$B$2:$B$26, P29, crypto_transactions!$C$2:$C$26, "deposit", crypto_transactions!$J$2:$J$26, "completed", crypto_transactions!$D$2:$D$26, "ETH") * VLOOKUP("ETH", exchange_rates!$A$2:$E$9, 5, FALSE))</f>
        <v>5827.5</v>
      </c>
      <c r="U29" s="70">
        <f>(SUMIFS(fiat_transactions!$E$2:$E$26, fiat_transactions!$B$2:$B$26, P29, fiat_transactions!$C$2:$C$26, "withdrawal", fiat_transactions!$H$2:$H$26, "completed") * VLOOKUP(users!D2, exchange_rates!$A$2:$E$9, 5, FALSE)) + (SUMIFS(crypto_transactions!$F$2:$F$26, crypto_transactions!$B$2:$B$26, P29, crypto_transactions!$C$2:$C$26, "withdrawal", crypto_transactions!$J$2:$J$26, "completed", crypto_transactions!$D$2:$D$26, "USDT") * VLOOKUP("USDT", exchange_rates!$A$2:$E$9, 5, FALSE)) + (SUMIFS(crypto_transactions!$F$2:$F$26, crypto_transactions!$B$2:$B$26, P29, crypto_transactions!$C$2:$C$26, "withdrawal", crypto_transactions!$J$2:$J$26, "completed", crypto_transactions!$D$2:$D$26, "BTC") * VLOOKUP("BTC", exchange_rates!$A$2:$E$9, 5, FALSE)) + (SUMIFS(crypto_transactions!$F$2:$F$26, crypto_transactions!$B$2:$B$26, P29, crypto_transactions!$C$2:$C$26, "withdrawal", crypto_transactions!$J$2:$J$26, "completed", crypto_transactions!$D$2:$D$26, "ETH") * VLOOKUP("ETH", exchange_rates!$A$2:$E$9, 5, FALSE))</f>
        <v>1042.5</v>
      </c>
      <c r="V29" s="70">
        <f t="shared" ref="V29:V38" si="6">T29-U29</f>
        <v>4785</v>
      </c>
      <c r="W29" s="69" t="str">
        <f>users!F2</f>
        <v>active</v>
      </c>
    </row>
    <row r="30" ht="16.5" customHeight="1">
      <c r="P30" s="67" t="str">
        <f>users!A3</f>
        <v>615902374</v>
      </c>
      <c r="Q30" s="68" t="str">
        <f>users!B3</f>
        <v>Bob Miller</v>
      </c>
      <c r="R30" s="69" t="str">
        <f>users!C3</f>
        <v>US</v>
      </c>
      <c r="S30" s="69">
        <f>users!E3</f>
        <v>3</v>
      </c>
      <c r="T30" s="70">
        <f>(SUMIFS(fiat_transactions!$E$2:$E$26, fiat_transactions!$B$2:$B$26, P30, fiat_transactions!$C$2:$C$26, "deposit", fiat_transactions!$H$2:$H$26, "completed") * VLOOKUP(users!D3, exchange_rates!$A$2:$E$9, 5, FALSE)) + (SUMIFS(crypto_transactions!$F$2:$F$26, crypto_transactions!$B$2:$B$26, P30, crypto_transactions!$C$2:$C$26, "deposit", crypto_transactions!$J$2:$J$26, "completed", crypto_transactions!$D$2:$D$26, "USDT") * VLOOKUP("USDT", exchange_rates!$A$2:$E$9, 5, FALSE)) + (SUMIFS(crypto_transactions!$F$2:$F$26, crypto_transactions!$B$2:$B$26, P30, crypto_transactions!$C$2:$C$26, "deposit", crypto_transactions!$J$2:$J$26, "completed", crypto_transactions!$D$2:$D$26, "BTC") * VLOOKUP("BTC", exchange_rates!$A$2:$E$9, 5, FALSE)) + (SUMIFS(crypto_transactions!$F$2:$F$26, crypto_transactions!$B$2:$B$26, P30, crypto_transactions!$C$2:$C$26, "deposit", crypto_transactions!$J$2:$J$26, "completed", crypto_transactions!$D$2:$D$26, "ETH") * VLOOKUP("ETH", exchange_rates!$A$2:$E$9, 5, FALSE))</f>
        <v>53825</v>
      </c>
      <c r="U30" s="70">
        <f>(SUMIFS(fiat_transactions!$E$2:$E$26, fiat_transactions!$B$2:$B$26, P30, fiat_transactions!$C$2:$C$26, "withdrawal", fiat_transactions!$H$2:$H$26, "completed") * VLOOKUP(users!D3, exchange_rates!$A$2:$E$9, 5, FALSE)) + (SUMIFS(crypto_transactions!$F$2:$F$26, crypto_transactions!$B$2:$B$26, P30, crypto_transactions!$C$2:$C$26, "withdrawal", crypto_transactions!$J$2:$J$26, "completed", crypto_transactions!$D$2:$D$26, "USDT") * VLOOKUP("USDT", exchange_rates!$A$2:$E$9, 5, FALSE)) + (SUMIFS(crypto_transactions!$F$2:$F$26, crypto_transactions!$B$2:$B$26, P30, crypto_transactions!$C$2:$C$26, "withdrawal", crypto_transactions!$J$2:$J$26, "completed", crypto_transactions!$D$2:$D$26, "BTC") * VLOOKUP("BTC", exchange_rates!$A$2:$E$9, 5, FALSE)) + (SUMIFS(crypto_transactions!$F$2:$F$26, crypto_transactions!$B$2:$B$26, P30, crypto_transactions!$C$2:$C$26, "withdrawal", crypto_transactions!$J$2:$J$26, "completed", crypto_transactions!$D$2:$D$26, "ETH") * VLOOKUP("ETH", exchange_rates!$A$2:$E$9, 5, FALSE))</f>
        <v>18290</v>
      </c>
      <c r="V30" s="70">
        <f t="shared" si="6"/>
        <v>35535</v>
      </c>
      <c r="W30" s="69" t="str">
        <f>users!F3</f>
        <v>active</v>
      </c>
    </row>
    <row r="31" ht="16.5" customHeight="1">
      <c r="P31" s="67" t="str">
        <f>users!A4</f>
        <v>903174628</v>
      </c>
      <c r="Q31" s="68" t="str">
        <f>users!B4</f>
        <v>Charlie Tanaka</v>
      </c>
      <c r="R31" s="69" t="str">
        <f>users!C4</f>
        <v>JP</v>
      </c>
      <c r="S31" s="69">
        <f>users!E4</f>
        <v>1</v>
      </c>
      <c r="T31" s="70">
        <f>(SUMIFS(fiat_transactions!$E$2:$E$26, fiat_transactions!$B$2:$B$26, P31, fiat_transactions!$C$2:$C$26, "deposit", fiat_transactions!$H$2:$H$26, "completed") * VLOOKUP(users!D4, exchange_rates!$A$2:$E$9, 5, FALSE)) + (SUMIFS(crypto_transactions!$F$2:$F$26, crypto_transactions!$B$2:$B$26, P31, crypto_transactions!$C$2:$C$26, "deposit", crypto_transactions!$J$2:$J$26, "completed", crypto_transactions!$D$2:$D$26, "USDT") * VLOOKUP("USDT", exchange_rates!$A$2:$E$9, 5, FALSE)) + (SUMIFS(crypto_transactions!$F$2:$F$26, crypto_transactions!$B$2:$B$26, P31, crypto_transactions!$C$2:$C$26, "deposit", crypto_transactions!$J$2:$J$26, "completed", crypto_transactions!$D$2:$D$26, "BTC") * VLOOKUP("BTC", exchange_rates!$A$2:$E$9, 5, FALSE)) + (SUMIFS(crypto_transactions!$F$2:$F$26, crypto_transactions!$B$2:$B$26, P31, crypto_transactions!$C$2:$C$26, "deposit", crypto_transactions!$J$2:$J$26, "completed", crypto_transactions!$D$2:$D$26, "ETH") * VLOOKUP("ETH", exchange_rates!$A$2:$E$9, 5, FALSE))</f>
        <v>1400</v>
      </c>
      <c r="U31" s="70">
        <f>(SUMIFS(fiat_transactions!$E$2:$E$26, fiat_transactions!$B$2:$B$26, P31, fiat_transactions!$C$2:$C$26, "withdrawal", fiat_transactions!$H$2:$H$26, "completed") * VLOOKUP(users!D4, exchange_rates!$A$2:$E$9, 5, FALSE)) + (SUMIFS(crypto_transactions!$F$2:$F$26, crypto_transactions!$B$2:$B$26, P31, crypto_transactions!$C$2:$C$26, "withdrawal", crypto_transactions!$J$2:$J$26, "completed", crypto_transactions!$D$2:$D$26, "USDT") * VLOOKUP("USDT", exchange_rates!$A$2:$E$9, 5, FALSE)) + (SUMIFS(crypto_transactions!$F$2:$F$26, crypto_transactions!$B$2:$B$26, P31, crypto_transactions!$C$2:$C$26, "withdrawal", crypto_transactions!$J$2:$J$26, "completed", crypto_transactions!$D$2:$D$26, "BTC") * VLOOKUP("BTC", exchange_rates!$A$2:$E$9, 5, FALSE)) + (SUMIFS(crypto_transactions!$F$2:$F$26, crypto_transactions!$B$2:$B$26, P31, crypto_transactions!$C$2:$C$26, "withdrawal", crypto_transactions!$J$2:$J$26, "completed", crypto_transactions!$D$2:$D$26, "ETH") * VLOOKUP("ETH", exchange_rates!$A$2:$E$9, 5, FALSE))</f>
        <v>750</v>
      </c>
      <c r="V31" s="70">
        <f t="shared" si="6"/>
        <v>650</v>
      </c>
      <c r="W31" s="69" t="str">
        <f>users!F4</f>
        <v>active</v>
      </c>
    </row>
    <row r="32" ht="16.5" customHeight="1">
      <c r="P32" s="67" t="str">
        <f>users!A5</f>
        <v>528406193</v>
      </c>
      <c r="Q32" s="68" t="str">
        <f>users!B5</f>
        <v>David Smith</v>
      </c>
      <c r="R32" s="69" t="str">
        <f>users!C5</f>
        <v>GB</v>
      </c>
      <c r="S32" s="69">
        <f>users!E5</f>
        <v>2</v>
      </c>
      <c r="T32" s="70">
        <f>(SUMIFS(fiat_transactions!$E$2:$E$26, fiat_transactions!$B$2:$B$26, P32, fiat_transactions!$C$2:$C$26, "deposit", fiat_transactions!$H$2:$H$26, "completed") * VLOOKUP(users!D5, exchange_rates!$A$2:$E$9, 5, FALSE)) + (SUMIFS(crypto_transactions!$F$2:$F$26, crypto_transactions!$B$2:$B$26, P32, crypto_transactions!$C$2:$C$26, "deposit", crypto_transactions!$J$2:$J$26, "completed", crypto_transactions!$D$2:$D$26, "USDT") * VLOOKUP("USDT", exchange_rates!$A$2:$E$9, 5, FALSE)) + (SUMIFS(crypto_transactions!$F$2:$F$26, crypto_transactions!$B$2:$B$26, P32, crypto_transactions!$C$2:$C$26, "deposit", crypto_transactions!$J$2:$J$26, "completed", crypto_transactions!$D$2:$D$26, "BTC") * VLOOKUP("BTC", exchange_rates!$A$2:$E$9, 5, FALSE)) + (SUMIFS(crypto_transactions!$F$2:$F$26, crypto_transactions!$B$2:$B$26, P32, crypto_transactions!$C$2:$C$26, "deposit", crypto_transactions!$J$2:$J$26, "completed", crypto_transactions!$D$2:$D$26, "ETH") * VLOOKUP("ETH", exchange_rates!$A$2:$E$9, 5, FALSE))</f>
        <v>4555</v>
      </c>
      <c r="U32" s="70">
        <f>(SUMIFS(fiat_transactions!$E$2:$E$26, fiat_transactions!$B$2:$B$26, P32, fiat_transactions!$C$2:$C$26, "withdrawal", fiat_transactions!$H$2:$H$26, "completed") * VLOOKUP(users!D5, exchange_rates!$A$2:$E$9, 5, FALSE)) + (SUMIFS(crypto_transactions!$F$2:$F$26, crypto_transactions!$B$2:$B$26, P32, crypto_transactions!$C$2:$C$26, "withdrawal", crypto_transactions!$J$2:$J$26, "completed", crypto_transactions!$D$2:$D$26, "USDT") * VLOOKUP("USDT", exchange_rates!$A$2:$E$9, 5, FALSE)) + (SUMIFS(crypto_transactions!$F$2:$F$26, crypto_transactions!$B$2:$B$26, P32, crypto_transactions!$C$2:$C$26, "withdrawal", crypto_transactions!$J$2:$J$26, "completed", crypto_transactions!$D$2:$D$26, "BTC") * VLOOKUP("BTC", exchange_rates!$A$2:$E$9, 5, FALSE)) + (SUMIFS(crypto_transactions!$F$2:$F$26, crypto_transactions!$B$2:$B$26, P32, crypto_transactions!$C$2:$C$26, "withdrawal", crypto_transactions!$J$2:$J$26, "completed", crypto_transactions!$D$2:$D$26, "ETH") * VLOOKUP("ETH", exchange_rates!$A$2:$E$9, 5, FALSE))</f>
        <v>4370</v>
      </c>
      <c r="V32" s="70">
        <f t="shared" si="6"/>
        <v>185</v>
      </c>
      <c r="W32" s="69" t="str">
        <f>users!F5</f>
        <v>active</v>
      </c>
    </row>
    <row r="33" ht="16.5" customHeight="1">
      <c r="P33" s="67" t="str">
        <f>users!A6</f>
        <v>846219537</v>
      </c>
      <c r="Q33" s="68" t="str">
        <f>users!B6</f>
        <v>Elena Rostova</v>
      </c>
      <c r="R33" s="69" t="str">
        <f>users!C6</f>
        <v>FR</v>
      </c>
      <c r="S33" s="69">
        <f>users!E6</f>
        <v>2</v>
      </c>
      <c r="T33" s="70">
        <f>(SUMIFS(fiat_transactions!$E$2:$E$26, fiat_transactions!$B$2:$B$26, P33, fiat_transactions!$C$2:$C$26, "deposit", fiat_transactions!$H$2:$H$26, "completed") * VLOOKUP(users!D6, exchange_rates!$A$2:$E$9, 5, FALSE)) + (SUMIFS(crypto_transactions!$F$2:$F$26, crypto_transactions!$B$2:$B$26, P33, crypto_transactions!$C$2:$C$26, "deposit", crypto_transactions!$J$2:$J$26, "completed", crypto_transactions!$D$2:$D$26, "USDT") * VLOOKUP("USDT", exchange_rates!$A$2:$E$9, 5, FALSE)) + (SUMIFS(crypto_transactions!$F$2:$F$26, crypto_transactions!$B$2:$B$26, P33, crypto_transactions!$C$2:$C$26, "deposit", crypto_transactions!$J$2:$J$26, "completed", crypto_transactions!$D$2:$D$26, "BTC") * VLOOKUP("BTC", exchange_rates!$A$2:$E$9, 5, FALSE)) + (SUMIFS(crypto_transactions!$F$2:$F$26, crypto_transactions!$B$2:$B$26, P33, crypto_transactions!$C$2:$C$26, "deposit", crypto_transactions!$J$2:$J$26, "completed", crypto_transactions!$D$2:$D$26, "ETH") * VLOOKUP("ETH", exchange_rates!$A$2:$E$9, 5, FALSE))</f>
        <v>8570</v>
      </c>
      <c r="U33" s="70">
        <f>(SUMIFS(fiat_transactions!$E$2:$E$26, fiat_transactions!$B$2:$B$26, P33, fiat_transactions!$C$2:$C$26, "withdrawal", fiat_transactions!$H$2:$H$26, "completed") * VLOOKUP(users!D6, exchange_rates!$A$2:$E$9, 5, FALSE)) + (SUMIFS(crypto_transactions!$F$2:$F$26, crypto_transactions!$B$2:$B$26, P33, crypto_transactions!$C$2:$C$26, "withdrawal", crypto_transactions!$J$2:$J$26, "completed", crypto_transactions!$D$2:$D$26, "USDT") * VLOOKUP("USDT", exchange_rates!$A$2:$E$9, 5, FALSE)) + (SUMIFS(crypto_transactions!$F$2:$F$26, crypto_transactions!$B$2:$B$26, P33, crypto_transactions!$C$2:$C$26, "withdrawal", crypto_transactions!$J$2:$J$26, "completed", crypto_transactions!$D$2:$D$26, "BTC") * VLOOKUP("BTC", exchange_rates!$A$2:$E$9, 5, FALSE)) + (SUMIFS(crypto_transactions!$F$2:$F$26, crypto_transactions!$B$2:$B$26, P33, crypto_transactions!$C$2:$C$26, "withdrawal", crypto_transactions!$J$2:$J$26, "completed", crypto_transactions!$D$2:$D$26, "ETH") * VLOOKUP("ETH", exchange_rates!$A$2:$E$9, 5, FALSE))</f>
        <v>265</v>
      </c>
      <c r="V33" s="70">
        <f t="shared" si="6"/>
        <v>8305</v>
      </c>
      <c r="W33" s="69" t="str">
        <f>users!F6</f>
        <v>active</v>
      </c>
    </row>
    <row r="34" ht="16.5" customHeight="1">
      <c r="P34" s="67" t="str">
        <f>users!A7</f>
        <v>692481305</v>
      </c>
      <c r="Q34" s="68" t="str">
        <f>users!B7</f>
        <v>Fatimah Al-Sayed</v>
      </c>
      <c r="R34" s="69" t="str">
        <f>users!C7</f>
        <v>AE</v>
      </c>
      <c r="S34" s="69">
        <f>users!E7</f>
        <v>3</v>
      </c>
      <c r="T34" s="70">
        <f>(SUMIFS(fiat_transactions!$E$2:$E$26, fiat_transactions!$B$2:$B$26, P34, fiat_transactions!$C$2:$C$26, "deposit", fiat_transactions!$H$2:$H$26, "completed") * VLOOKUP(users!D7, exchange_rates!$A$2:$E$9, 5, FALSE)) + (SUMIFS(crypto_transactions!$F$2:$F$26, crypto_transactions!$B$2:$B$26, P34, crypto_transactions!$C$2:$C$26, "deposit", crypto_transactions!$J$2:$J$26, "completed", crypto_transactions!$D$2:$D$26, "USDT") * VLOOKUP("USDT", exchange_rates!$A$2:$E$9, 5, FALSE)) + (SUMIFS(crypto_transactions!$F$2:$F$26, crypto_transactions!$B$2:$B$26, P34, crypto_transactions!$C$2:$C$26, "deposit", crypto_transactions!$J$2:$J$26, "completed", crypto_transactions!$D$2:$D$26, "BTC") * VLOOKUP("BTC", exchange_rates!$A$2:$E$9, 5, FALSE)) + (SUMIFS(crypto_transactions!$F$2:$F$26, crypto_transactions!$B$2:$B$26, P34, crypto_transactions!$C$2:$C$26, "deposit", crypto_transactions!$J$2:$J$26, "completed", crypto_transactions!$D$2:$D$26, "ETH") * VLOOKUP("ETH", exchange_rates!$A$2:$E$9, 5, FALSE))</f>
        <v>28935</v>
      </c>
      <c r="U34" s="70">
        <f>(SUMIFS(fiat_transactions!$E$2:$E$26, fiat_transactions!$B$2:$B$26, P34, fiat_transactions!$C$2:$C$26, "withdrawal", fiat_transactions!$H$2:$H$26, "completed") * VLOOKUP(users!D7, exchange_rates!$A$2:$E$9, 5, FALSE)) + (SUMIFS(crypto_transactions!$F$2:$F$26, crypto_transactions!$B$2:$B$26, P34, crypto_transactions!$C$2:$C$26, "withdrawal", crypto_transactions!$J$2:$J$26, "completed", crypto_transactions!$D$2:$D$26, "USDT") * VLOOKUP("USDT", exchange_rates!$A$2:$E$9, 5, FALSE)) + (SUMIFS(crypto_transactions!$F$2:$F$26, crypto_transactions!$B$2:$B$26, P34, crypto_transactions!$C$2:$C$26, "withdrawal", crypto_transactions!$J$2:$J$26, "completed", crypto_transactions!$D$2:$D$26, "BTC") * VLOOKUP("BTC", exchange_rates!$A$2:$E$9, 5, FALSE)) + (SUMIFS(crypto_transactions!$F$2:$F$26, crypto_transactions!$B$2:$B$26, P34, crypto_transactions!$C$2:$C$26, "withdrawal", crypto_transactions!$J$2:$J$26, "completed", crypto_transactions!$D$2:$D$26, "ETH") * VLOOKUP("ETH", exchange_rates!$A$2:$E$9, 5, FALSE))</f>
        <v>10600</v>
      </c>
      <c r="V34" s="70">
        <f t="shared" si="6"/>
        <v>18335</v>
      </c>
      <c r="W34" s="69" t="str">
        <f>users!F7</f>
        <v>active</v>
      </c>
    </row>
    <row r="35" ht="16.5" customHeight="1">
      <c r="P35" s="67" t="str">
        <f>users!A8</f>
        <v>438750921</v>
      </c>
      <c r="Q35" s="68" t="str">
        <f>users!B8</f>
        <v>Gabriel Garcia</v>
      </c>
      <c r="R35" s="69" t="str">
        <f>users!C8</f>
        <v>BR</v>
      </c>
      <c r="S35" s="69">
        <f>users!E8</f>
        <v>2</v>
      </c>
      <c r="T35" s="70">
        <f>(SUMIFS(fiat_transactions!$E$2:$E$26, fiat_transactions!$B$2:$B$26, P35, fiat_transactions!$C$2:$C$26, "deposit", fiat_transactions!$H$2:$H$26, "completed") * VLOOKUP(users!D8, exchange_rates!$A$2:$E$9, 5, FALSE)) + (SUMIFS(crypto_transactions!$F$2:$F$26, crypto_transactions!$B$2:$B$26, P35, crypto_transactions!$C$2:$C$26, "deposit", crypto_transactions!$J$2:$J$26, "completed", crypto_transactions!$D$2:$D$26, "USDT") * VLOOKUP("USDT", exchange_rates!$A$2:$E$9, 5, FALSE)) + (SUMIFS(crypto_transactions!$F$2:$F$26, crypto_transactions!$B$2:$B$26, P35, crypto_transactions!$C$2:$C$26, "deposit", crypto_transactions!$J$2:$J$26, "completed", crypto_transactions!$D$2:$D$26, "BTC") * VLOOKUP("BTC", exchange_rates!$A$2:$E$9, 5, FALSE)) + (SUMIFS(crypto_transactions!$F$2:$F$26, crypto_transactions!$B$2:$B$26, P35, crypto_transactions!$C$2:$C$26, "deposit", crypto_transactions!$J$2:$J$26, "completed", crypto_transactions!$D$2:$D$26, "ETH") * VLOOKUP("ETH", exchange_rates!$A$2:$E$9, 5, FALSE))</f>
        <v>2255</v>
      </c>
      <c r="U35" s="70">
        <f>(SUMIFS(fiat_transactions!$E$2:$E$26, fiat_transactions!$B$2:$B$26, P35, fiat_transactions!$C$2:$C$26, "withdrawal", fiat_transactions!$H$2:$H$26, "completed") * VLOOKUP(users!D8, exchange_rates!$A$2:$E$9, 5, FALSE)) + (SUMIFS(crypto_transactions!$F$2:$F$26, crypto_transactions!$B$2:$B$26, P35, crypto_transactions!$C$2:$C$26, "withdrawal", crypto_transactions!$J$2:$J$26, "completed", crypto_transactions!$D$2:$D$26, "USDT") * VLOOKUP("USDT", exchange_rates!$A$2:$E$9, 5, FALSE)) + (SUMIFS(crypto_transactions!$F$2:$F$26, crypto_transactions!$B$2:$B$26, P35, crypto_transactions!$C$2:$C$26, "withdrawal", crypto_transactions!$J$2:$J$26, "completed", crypto_transactions!$D$2:$D$26, "BTC") * VLOOKUP("BTC", exchange_rates!$A$2:$E$9, 5, FALSE)) + (SUMIFS(crypto_transactions!$F$2:$F$26, crypto_transactions!$B$2:$B$26, P35, crypto_transactions!$C$2:$C$26, "withdrawal", crypto_transactions!$J$2:$J$26, "completed", crypto_transactions!$D$2:$D$26, "ETH") * VLOOKUP("ETH", exchange_rates!$A$2:$E$9, 5, FALSE))</f>
        <v>2255</v>
      </c>
      <c r="V35" s="70">
        <f t="shared" si="6"/>
        <v>0</v>
      </c>
      <c r="W35" s="69" t="str">
        <f>users!F8</f>
        <v>active</v>
      </c>
    </row>
    <row r="36" ht="9.0" customHeight="1">
      <c r="P36" s="67" t="str">
        <f>users!A9</f>
        <v>319582046</v>
      </c>
      <c r="Q36" s="68" t="str">
        <f>users!B9</f>
        <v>Hakan Yilmaz</v>
      </c>
      <c r="R36" s="69" t="str">
        <f>users!C9</f>
        <v>TR</v>
      </c>
      <c r="S36" s="69">
        <f>users!E9</f>
        <v>1</v>
      </c>
      <c r="T36" s="70">
        <f>(SUMIFS(fiat_transactions!$E$2:$E$26, fiat_transactions!$B$2:$B$26, P36, fiat_transactions!$C$2:$C$26, "deposit", fiat_transactions!$H$2:$H$26, "completed") * VLOOKUP(users!D9, exchange_rates!$A$2:$E$9, 5, FALSE)) + (SUMIFS(crypto_transactions!$F$2:$F$26, crypto_transactions!$B$2:$B$26, P36, crypto_transactions!$C$2:$C$26, "deposit", crypto_transactions!$J$2:$J$26, "completed", crypto_transactions!$D$2:$D$26, "USDT") * VLOOKUP("USDT", exchange_rates!$A$2:$E$9, 5, FALSE)) + (SUMIFS(crypto_transactions!$F$2:$F$26, crypto_transactions!$B$2:$B$26, P36, crypto_transactions!$C$2:$C$26, "deposit", crypto_transactions!$J$2:$J$26, "completed", crypto_transactions!$D$2:$D$26, "BTC") * VLOOKUP("BTC", exchange_rates!$A$2:$E$9, 5, FALSE)) + (SUMIFS(crypto_transactions!$F$2:$F$26, crypto_transactions!$B$2:$B$26, P36, crypto_transactions!$C$2:$C$26, "deposit", crypto_transactions!$J$2:$J$26, "completed", crypto_transactions!$D$2:$D$26, "ETH") * VLOOKUP("ETH", exchange_rates!$A$2:$E$9, 5, FALSE))</f>
        <v>507</v>
      </c>
      <c r="U36" s="70">
        <f>(SUMIFS(fiat_transactions!$E$2:$E$26, fiat_transactions!$B$2:$B$26, P36, fiat_transactions!$C$2:$C$26, "withdrawal", fiat_transactions!$H$2:$H$26, "completed") * VLOOKUP(users!D9, exchange_rates!$A$2:$E$9, 5, FALSE)) + (SUMIFS(crypto_transactions!$F$2:$F$26, crypto_transactions!$B$2:$B$26, P36, crypto_transactions!$C$2:$C$26, "withdrawal", crypto_transactions!$J$2:$J$26, "completed", crypto_transactions!$D$2:$D$26, "USDT") * VLOOKUP("USDT", exchange_rates!$A$2:$E$9, 5, FALSE)) + (SUMIFS(crypto_transactions!$F$2:$F$26, crypto_transactions!$B$2:$B$26, P36, crypto_transactions!$C$2:$C$26, "withdrawal", crypto_transactions!$J$2:$J$26, "completed", crypto_transactions!$D$2:$D$26, "BTC") * VLOOKUP("BTC", exchange_rates!$A$2:$E$9, 5, FALSE)) + (SUMIFS(crypto_transactions!$F$2:$F$26, crypto_transactions!$B$2:$B$26, P36, crypto_transactions!$C$2:$C$26, "withdrawal", crypto_transactions!$J$2:$J$26, "completed", crypto_transactions!$D$2:$D$26, "ETH") * VLOOKUP("ETH", exchange_rates!$A$2:$E$9, 5, FALSE))</f>
        <v>177</v>
      </c>
      <c r="V36" s="70">
        <f t="shared" si="6"/>
        <v>330</v>
      </c>
      <c r="W36" s="69" t="str">
        <f>users!F9</f>
        <v>active</v>
      </c>
    </row>
    <row r="37" ht="21.0" customHeight="1">
      <c r="B37" s="71" t="s">
        <v>64</v>
      </c>
      <c r="C37" s="24"/>
      <c r="D37" s="24"/>
      <c r="E37" s="24"/>
      <c r="F37" s="24"/>
      <c r="G37" s="25"/>
      <c r="I37" s="72" t="s">
        <v>65</v>
      </c>
      <c r="J37" s="24"/>
      <c r="K37" s="24"/>
      <c r="L37" s="24"/>
      <c r="M37" s="24"/>
      <c r="N37" s="25"/>
      <c r="P37" s="67" t="str">
        <f>users!A10</f>
        <v>502847193</v>
      </c>
      <c r="Q37" s="68" t="str">
        <f>users!B10</f>
        <v>Irene Jung</v>
      </c>
      <c r="R37" s="69" t="str">
        <f>users!C10</f>
        <v>KR</v>
      </c>
      <c r="S37" s="69">
        <f>users!E10</f>
        <v>2</v>
      </c>
      <c r="T37" s="70">
        <f>(SUMIFS(fiat_transactions!$E$2:$E$26, fiat_transactions!$B$2:$B$26, P37, fiat_transactions!$C$2:$C$26, "deposit", fiat_transactions!$H$2:$H$26, "completed") * VLOOKUP(users!D10, exchange_rates!$A$2:$E$9, 5, FALSE)) + (SUMIFS(crypto_transactions!$F$2:$F$26, crypto_transactions!$B$2:$B$26, P37, crypto_transactions!$C$2:$C$26, "deposit", crypto_transactions!$J$2:$J$26, "completed", crypto_transactions!$D$2:$D$26, "USDT") * VLOOKUP("USDT", exchange_rates!$A$2:$E$9, 5, FALSE)) + (SUMIFS(crypto_transactions!$F$2:$F$26, crypto_transactions!$B$2:$B$26, P37, crypto_transactions!$C$2:$C$26, "deposit", crypto_transactions!$J$2:$J$26, "completed", crypto_transactions!$D$2:$D$26, "BTC") * VLOOKUP("BTC", exchange_rates!$A$2:$E$9, 5, FALSE)) + (SUMIFS(crypto_transactions!$F$2:$F$26, crypto_transactions!$B$2:$B$26, P37, crypto_transactions!$C$2:$C$26, "deposit", crypto_transactions!$J$2:$J$26, "completed", crypto_transactions!$D$2:$D$26, "ETH") * VLOOKUP("ETH", exchange_rates!$A$2:$E$9, 5, FALSE))</f>
        <v>0</v>
      </c>
      <c r="U37" s="70">
        <f>(SUMIFS(fiat_transactions!$E$2:$E$26, fiat_transactions!$B$2:$B$26, P37, fiat_transactions!$C$2:$C$26, "withdrawal", fiat_transactions!$H$2:$H$26, "completed") * VLOOKUP(users!D10, exchange_rates!$A$2:$E$9, 5, FALSE)) + (SUMIFS(crypto_transactions!$F$2:$F$26, crypto_transactions!$B$2:$B$26, P37, crypto_transactions!$C$2:$C$26, "withdrawal", crypto_transactions!$J$2:$J$26, "completed", crypto_transactions!$D$2:$D$26, "USDT") * VLOOKUP("USDT", exchange_rates!$A$2:$E$9, 5, FALSE)) + (SUMIFS(crypto_transactions!$F$2:$F$26, crypto_transactions!$B$2:$B$26, P37, crypto_transactions!$C$2:$C$26, "withdrawal", crypto_transactions!$J$2:$J$26, "completed", crypto_transactions!$D$2:$D$26, "BTC") * VLOOKUP("BTC", exchange_rates!$A$2:$E$9, 5, FALSE)) + (SUMIFS(crypto_transactions!$F$2:$F$26, crypto_transactions!$B$2:$B$26, P37, crypto_transactions!$C$2:$C$26, "withdrawal", crypto_transactions!$J$2:$J$26, "completed", crypto_transactions!$D$2:$D$26, "ETH") * VLOOKUP("ETH", exchange_rates!$A$2:$E$9, 5, FALSE))</f>
        <v>820</v>
      </c>
      <c r="V37" s="70">
        <f t="shared" si="6"/>
        <v>-820</v>
      </c>
      <c r="W37" s="69" t="str">
        <f>users!F10</f>
        <v>frozen</v>
      </c>
    </row>
    <row r="38" ht="18.0" customHeight="1">
      <c r="B38" s="73" t="s">
        <v>66</v>
      </c>
      <c r="C38" s="74" t="s">
        <v>67</v>
      </c>
      <c r="D38" s="74" t="s">
        <v>68</v>
      </c>
      <c r="E38" s="74" t="s">
        <v>69</v>
      </c>
      <c r="F38" s="74" t="s">
        <v>70</v>
      </c>
      <c r="G38" s="75" t="s">
        <v>71</v>
      </c>
      <c r="I38" s="76" t="s">
        <v>72</v>
      </c>
      <c r="J38" s="77" t="s">
        <v>73</v>
      </c>
      <c r="K38" s="77" t="s">
        <v>68</v>
      </c>
      <c r="L38" s="77" t="s">
        <v>69</v>
      </c>
      <c r="M38" s="77" t="s">
        <v>74</v>
      </c>
      <c r="N38" s="78" t="s">
        <v>75</v>
      </c>
      <c r="P38" s="67" t="str">
        <f>users!A11</f>
        <v>219485730</v>
      </c>
      <c r="Q38" s="68" t="str">
        <f>users!B11</f>
        <v>Jonas Weber</v>
      </c>
      <c r="R38" s="69" t="str">
        <f>users!C11</f>
        <v>DE</v>
      </c>
      <c r="S38" s="69">
        <f>users!E11</f>
        <v>0</v>
      </c>
      <c r="T38" s="70">
        <f>(SUMIFS(fiat_transactions!$E$2:$E$26, fiat_transactions!$B$2:$B$26, P38, fiat_transactions!$C$2:$C$26, "deposit", fiat_transactions!$H$2:$H$26, "completed") * VLOOKUP(users!D11, exchange_rates!$A$2:$E$9, 5, FALSE)) + (SUMIFS(crypto_transactions!$F$2:$F$26, crypto_transactions!$B$2:$B$26, P38, crypto_transactions!$C$2:$C$26, "deposit", crypto_transactions!$J$2:$J$26, "completed", crypto_transactions!$D$2:$D$26, "USDT") * VLOOKUP("USDT", exchange_rates!$A$2:$E$9, 5, FALSE)) + (SUMIFS(crypto_transactions!$F$2:$F$26, crypto_transactions!$B$2:$B$26, P38, crypto_transactions!$C$2:$C$26, "deposit", crypto_transactions!$J$2:$J$26, "completed", crypto_transactions!$D$2:$D$26, "BTC") * VLOOKUP("BTC", exchange_rates!$A$2:$E$9, 5, FALSE)) + (SUMIFS(crypto_transactions!$F$2:$F$26, crypto_transactions!$B$2:$B$26, P38, crypto_transactions!$C$2:$C$26, "deposit", crypto_transactions!$J$2:$J$26, "completed", crypto_transactions!$D$2:$D$26, "ETH") * VLOOKUP("ETH", exchange_rates!$A$2:$E$9, 5, FALSE))</f>
        <v>0</v>
      </c>
      <c r="U38" s="70">
        <f>(SUMIFS(fiat_transactions!$E$2:$E$26, fiat_transactions!$B$2:$B$26, P38, fiat_transactions!$C$2:$C$26, "withdrawal", fiat_transactions!$H$2:$H$26, "completed") * VLOOKUP(users!D11, exchange_rates!$A$2:$E$9, 5, FALSE)) + (SUMIFS(crypto_transactions!$F$2:$F$26, crypto_transactions!$B$2:$B$26, P38, crypto_transactions!$C$2:$C$26, "withdrawal", crypto_transactions!$J$2:$J$26, "completed", crypto_transactions!$D$2:$D$26, "USDT") * VLOOKUP("USDT", exchange_rates!$A$2:$E$9, 5, FALSE)) + (SUMIFS(crypto_transactions!$F$2:$F$26, crypto_transactions!$B$2:$B$26, P38, crypto_transactions!$C$2:$C$26, "withdrawal", crypto_transactions!$J$2:$J$26, "completed", crypto_transactions!$D$2:$D$26, "BTC") * VLOOKUP("BTC", exchange_rates!$A$2:$E$9, 5, FALSE)) + (SUMIFS(crypto_transactions!$F$2:$F$26, crypto_transactions!$B$2:$B$26, P38, crypto_transactions!$C$2:$C$26, "withdrawal", crypto_transactions!$J$2:$J$26, "completed", crypto_transactions!$D$2:$D$26, "ETH") * VLOOKUP("ETH", exchange_rates!$A$2:$E$9, 5, FALSE))</f>
        <v>0</v>
      </c>
      <c r="V38" s="70">
        <f t="shared" si="6"/>
        <v>0</v>
      </c>
      <c r="W38" s="69" t="str">
        <f>users!F11</f>
        <v>pending_kyc</v>
      </c>
    </row>
    <row r="39" ht="33.0" customHeight="1">
      <c r="B39" s="79" t="s">
        <v>76</v>
      </c>
      <c r="C39" s="80" t="s">
        <v>77</v>
      </c>
      <c r="D39" s="80" t="s">
        <v>78</v>
      </c>
      <c r="E39" s="80" t="s">
        <v>79</v>
      </c>
      <c r="F39" s="81" t="s">
        <v>80</v>
      </c>
      <c r="G39" s="82" t="s">
        <v>81</v>
      </c>
      <c r="H39" s="83"/>
      <c r="I39" s="79" t="s">
        <v>82</v>
      </c>
      <c r="J39" s="80" t="s">
        <v>49</v>
      </c>
      <c r="K39" s="80" t="s">
        <v>83</v>
      </c>
      <c r="L39" s="80" t="s">
        <v>84</v>
      </c>
      <c r="M39" s="81" t="s">
        <v>85</v>
      </c>
      <c r="N39" s="82" t="s">
        <v>86</v>
      </c>
      <c r="P39" s="84" t="s">
        <v>87</v>
      </c>
      <c r="Q39" s="85"/>
      <c r="R39" s="85"/>
      <c r="S39" s="85"/>
      <c r="T39" s="86">
        <f t="shared" ref="T39:V39" si="7">SUM(T29:T38)</f>
        <v>105874.5</v>
      </c>
      <c r="U39" s="86">
        <f t="shared" si="7"/>
        <v>38569.5</v>
      </c>
      <c r="V39" s="86">
        <f t="shared" si="7"/>
        <v>67305</v>
      </c>
      <c r="W39" s="84" t="s">
        <v>88</v>
      </c>
    </row>
    <row r="40" ht="33.0" customHeight="1">
      <c r="B40" s="79" t="s">
        <v>76</v>
      </c>
      <c r="C40" s="80" t="s">
        <v>77</v>
      </c>
      <c r="D40" s="80" t="s">
        <v>89</v>
      </c>
      <c r="E40" s="80" t="s">
        <v>90</v>
      </c>
      <c r="F40" s="81" t="s">
        <v>91</v>
      </c>
      <c r="G40" s="82" t="s">
        <v>92</v>
      </c>
      <c r="H40" s="83"/>
      <c r="I40" s="79" t="s">
        <v>93</v>
      </c>
      <c r="J40" s="80" t="s">
        <v>45</v>
      </c>
      <c r="K40" s="80" t="s">
        <v>94</v>
      </c>
      <c r="L40" s="80" t="s">
        <v>95</v>
      </c>
      <c r="M40" s="81" t="s">
        <v>96</v>
      </c>
      <c r="N40" s="82" t="s">
        <v>97</v>
      </c>
    </row>
    <row r="41" ht="33.0" customHeight="1">
      <c r="B41" s="79" t="s">
        <v>98</v>
      </c>
      <c r="C41" s="80" t="s">
        <v>99</v>
      </c>
      <c r="D41" s="80" t="s">
        <v>100</v>
      </c>
      <c r="E41" s="80" t="s">
        <v>101</v>
      </c>
      <c r="F41" s="81" t="s">
        <v>102</v>
      </c>
      <c r="G41" s="82" t="s">
        <v>103</v>
      </c>
      <c r="H41" s="83"/>
      <c r="I41" s="79" t="s">
        <v>104</v>
      </c>
      <c r="J41" s="80" t="s">
        <v>26</v>
      </c>
      <c r="K41" s="80" t="s">
        <v>105</v>
      </c>
      <c r="L41" s="80" t="s">
        <v>106</v>
      </c>
      <c r="M41" s="81" t="s">
        <v>107</v>
      </c>
      <c r="N41" s="82" t="s">
        <v>108</v>
      </c>
    </row>
    <row r="42" ht="33.0" customHeight="1">
      <c r="B42" s="79" t="s">
        <v>109</v>
      </c>
      <c r="C42" s="80" t="s">
        <v>110</v>
      </c>
      <c r="D42" s="80" t="s">
        <v>111</v>
      </c>
      <c r="E42" s="80" t="s">
        <v>112</v>
      </c>
      <c r="F42" s="81" t="s">
        <v>113</v>
      </c>
      <c r="G42" s="82" t="s">
        <v>114</v>
      </c>
      <c r="H42" s="83"/>
      <c r="I42" s="79" t="s">
        <v>115</v>
      </c>
      <c r="J42" s="80" t="s">
        <v>45</v>
      </c>
      <c r="K42" s="80" t="s">
        <v>116</v>
      </c>
      <c r="L42" s="80" t="s">
        <v>117</v>
      </c>
      <c r="M42" s="81" t="s">
        <v>118</v>
      </c>
      <c r="N42" s="82" t="s">
        <v>119</v>
      </c>
    </row>
    <row r="43" ht="16.5" customHeight="1">
      <c r="B43" s="87"/>
      <c r="C43" s="88"/>
      <c r="D43" s="88"/>
      <c r="E43" s="88"/>
      <c r="F43" s="88"/>
      <c r="G43" s="89"/>
      <c r="H43" s="83"/>
      <c r="I43" s="87"/>
      <c r="J43" s="88"/>
      <c r="K43" s="88"/>
      <c r="L43" s="88"/>
      <c r="M43" s="88"/>
      <c r="N43" s="89"/>
    </row>
    <row r="44" ht="12.0" customHeight="1">
      <c r="B44" s="23" t="s">
        <v>120</v>
      </c>
      <c r="C44" s="24"/>
      <c r="D44" s="24"/>
      <c r="E44" s="24"/>
      <c r="F44" s="24"/>
      <c r="G44" s="25"/>
      <c r="I44" s="23" t="s">
        <v>121</v>
      </c>
      <c r="J44" s="24"/>
      <c r="K44" s="24"/>
      <c r="L44" s="24"/>
      <c r="M44" s="24"/>
      <c r="N44" s="25"/>
    </row>
    <row r="45">
      <c r="B45" s="26" t="s">
        <v>122</v>
      </c>
      <c r="C45" s="27" t="s">
        <v>123</v>
      </c>
      <c r="D45" s="27" t="s">
        <v>124</v>
      </c>
      <c r="E45" s="27" t="s">
        <v>125</v>
      </c>
      <c r="F45" s="27" t="s">
        <v>62</v>
      </c>
      <c r="G45" s="28" t="s">
        <v>126</v>
      </c>
      <c r="I45" s="26" t="s">
        <v>127</v>
      </c>
      <c r="J45" s="27" t="s">
        <v>128</v>
      </c>
      <c r="K45" s="27" t="s">
        <v>124</v>
      </c>
      <c r="L45" s="27" t="s">
        <v>125</v>
      </c>
      <c r="M45" s="27" t="s">
        <v>62</v>
      </c>
      <c r="N45" s="28" t="s">
        <v>129</v>
      </c>
    </row>
    <row r="46" ht="19.5" customHeight="1">
      <c r="B46" s="30" t="s">
        <v>130</v>
      </c>
      <c r="C46" s="34">
        <f>COUNTIF($S$29:$S$38, 0)</f>
        <v>1</v>
      </c>
      <c r="D46" s="32">
        <f>SUMIF($S$29:$S$38, 0, $T$29:$T$38)</f>
        <v>0</v>
      </c>
      <c r="E46" s="32">
        <f>SUMIF($S$29:$S$38, 0, $U$29:$U$38)</f>
        <v>0</v>
      </c>
      <c r="F46" s="32">
        <f t="shared" ref="F46:F49" si="8">D46-E46</f>
        <v>0</v>
      </c>
      <c r="G46" s="90">
        <f t="shared" ref="G46:G50" si="9">IF(D46=0, 0, F46/D46)</f>
        <v>0</v>
      </c>
      <c r="I46" s="30" t="s">
        <v>131</v>
      </c>
      <c r="J46" s="91" t="s">
        <v>24</v>
      </c>
      <c r="K46" s="32">
        <f>SUMIF($R$29:$R$38, "US", $T$29:$T$38)</f>
        <v>53825</v>
      </c>
      <c r="L46" s="32">
        <f>SUMIF($R$29:$R$38, "US", $U$29:$U$38)</f>
        <v>18290</v>
      </c>
      <c r="M46" s="32">
        <f t="shared" ref="M46:M54" si="10">K46-L46</f>
        <v>35535</v>
      </c>
      <c r="N46" s="33" t="str">
        <f t="shared" ref="N46:N54" si="11">IF(M46&gt;0, "🟢 净流入", IF(M46=0, "⚪ 持平", "🔴 净流出"))</f>
        <v>🟢 净流入</v>
      </c>
    </row>
    <row r="47" ht="19.5" customHeight="1">
      <c r="B47" s="30" t="s">
        <v>132</v>
      </c>
      <c r="C47" s="34">
        <f>COUNTIF($S$29:$S$38, 1)</f>
        <v>2</v>
      </c>
      <c r="D47" s="32">
        <f>SUMIF($S$29:$S$38, 1, $T$29:$T$38)</f>
        <v>1907</v>
      </c>
      <c r="E47" s="32">
        <f>SUMIF($S$29:$S$38, 1, $U$29:$U$38)</f>
        <v>927</v>
      </c>
      <c r="F47" s="32">
        <f t="shared" si="8"/>
        <v>980</v>
      </c>
      <c r="G47" s="90">
        <f t="shared" si="9"/>
        <v>0.513896172</v>
      </c>
      <c r="I47" s="30" t="s">
        <v>133</v>
      </c>
      <c r="J47" s="91" t="s">
        <v>24</v>
      </c>
      <c r="K47" s="32">
        <f>SUMIF($R$29:$R$38, "AE", $T$29:$T$38)</f>
        <v>28935</v>
      </c>
      <c r="L47" s="32">
        <f>SUMIF($R$29:$R$38, "AE", $U$29:$U$38)</f>
        <v>10600</v>
      </c>
      <c r="M47" s="32">
        <f t="shared" si="10"/>
        <v>18335</v>
      </c>
      <c r="N47" s="33" t="str">
        <f t="shared" si="11"/>
        <v>🟢 净流入</v>
      </c>
    </row>
    <row r="48" ht="19.5" customHeight="1">
      <c r="B48" s="30" t="s">
        <v>134</v>
      </c>
      <c r="C48" s="34">
        <f>COUNTIF($S$29:$S$38, 2)</f>
        <v>5</v>
      </c>
      <c r="D48" s="32">
        <f>SUMIF($S$29:$S$38, 2, $T$29:$T$38)</f>
        <v>21207.5</v>
      </c>
      <c r="E48" s="32">
        <f>SUMIF($S$29:$S$38, 2, $U$29:$U$38)</f>
        <v>8752.5</v>
      </c>
      <c r="F48" s="32">
        <f t="shared" si="8"/>
        <v>12455</v>
      </c>
      <c r="G48" s="90">
        <f t="shared" si="9"/>
        <v>0.5872922315</v>
      </c>
      <c r="I48" s="30" t="s">
        <v>135</v>
      </c>
      <c r="J48" s="91" t="s">
        <v>28</v>
      </c>
      <c r="K48" s="32">
        <f>SUMIF($R$29:$R$38, "FR", $T$29:$T$38)</f>
        <v>8570</v>
      </c>
      <c r="L48" s="32">
        <f>SUMIF($R$29:$R$38, "FR", $U$29:$U$38)</f>
        <v>265</v>
      </c>
      <c r="M48" s="32">
        <f t="shared" si="10"/>
        <v>8305</v>
      </c>
      <c r="N48" s="33" t="str">
        <f t="shared" si="11"/>
        <v>🟢 净流入</v>
      </c>
    </row>
    <row r="49" ht="19.5" customHeight="1">
      <c r="B49" s="30" t="s">
        <v>136</v>
      </c>
      <c r="C49" s="34">
        <f>COUNTIF($S$29:$S$38, 3)</f>
        <v>2</v>
      </c>
      <c r="D49" s="32">
        <f>SUMIF($S$29:$S$38, 3, $T$29:$T$38)</f>
        <v>82760</v>
      </c>
      <c r="E49" s="32">
        <f>SUMIF($S$29:$S$38, 3, $U$29:$U$38)</f>
        <v>28890</v>
      </c>
      <c r="F49" s="32">
        <f t="shared" si="8"/>
        <v>53870</v>
      </c>
      <c r="G49" s="90">
        <f t="shared" si="9"/>
        <v>0.650918318</v>
      </c>
      <c r="I49" s="30" t="s">
        <v>137</v>
      </c>
      <c r="J49" s="91" t="s">
        <v>28</v>
      </c>
      <c r="K49" s="32">
        <f>SUMIF($R$29:$R$38, "DE", $T$29:$T$38)</f>
        <v>5827.5</v>
      </c>
      <c r="L49" s="32">
        <f>SUMIF($R$29:$R$38, "DE", $U$29:$U$38)</f>
        <v>1042.5</v>
      </c>
      <c r="M49" s="32">
        <f t="shared" si="10"/>
        <v>4785</v>
      </c>
      <c r="N49" s="33" t="str">
        <f t="shared" si="11"/>
        <v>🟢 净流入</v>
      </c>
    </row>
    <row r="50" ht="19.5" customHeight="1">
      <c r="B50" s="92" t="s">
        <v>87</v>
      </c>
      <c r="C50" s="93">
        <f t="shared" ref="C50:F50" si="12">SUM(C46:C49)</f>
        <v>10</v>
      </c>
      <c r="D50" s="94">
        <f t="shared" si="12"/>
        <v>105874.5</v>
      </c>
      <c r="E50" s="94">
        <f t="shared" si="12"/>
        <v>38569.5</v>
      </c>
      <c r="F50" s="94">
        <f t="shared" si="12"/>
        <v>67305</v>
      </c>
      <c r="G50" s="95">
        <f t="shared" si="9"/>
        <v>0.6357054815</v>
      </c>
      <c r="I50" s="30" t="s">
        <v>138</v>
      </c>
      <c r="J50" s="91" t="s">
        <v>31</v>
      </c>
      <c r="K50" s="32">
        <f>SUMIF($R$29:$R$38, "GB", $T$29:$T$38)</f>
        <v>4555</v>
      </c>
      <c r="L50" s="32">
        <f>SUMIF($R$29:$R$38, "GB", $U$29:$U$38)</f>
        <v>4370</v>
      </c>
      <c r="M50" s="32">
        <f t="shared" si="10"/>
        <v>185</v>
      </c>
      <c r="N50" s="33" t="str">
        <f t="shared" si="11"/>
        <v>🟢 净流入</v>
      </c>
    </row>
    <row r="51" ht="19.5" customHeight="1">
      <c r="B51" s="96" t="s">
        <v>139</v>
      </c>
      <c r="C51" s="97" t="s">
        <v>140</v>
      </c>
      <c r="D51" s="98"/>
      <c r="E51" s="98"/>
      <c r="F51" s="98"/>
      <c r="G51" s="99"/>
      <c r="I51" s="30" t="s">
        <v>141</v>
      </c>
      <c r="J51" s="91" t="s">
        <v>34</v>
      </c>
      <c r="K51" s="32">
        <f>SUMIF($R$29:$R$38, "BR", $T$29:$T$38)</f>
        <v>2255</v>
      </c>
      <c r="L51" s="32">
        <f>SUMIF($R$29:$R$38, "BR", $U$29:$U$38)</f>
        <v>2255</v>
      </c>
      <c r="M51" s="32">
        <f t="shared" si="10"/>
        <v>0</v>
      </c>
      <c r="N51" s="33" t="str">
        <f t="shared" si="11"/>
        <v>⚪ 持平</v>
      </c>
    </row>
    <row r="52" ht="19.5" customHeight="1">
      <c r="B52" s="96" t="s">
        <v>142</v>
      </c>
      <c r="C52" s="97" t="s">
        <v>143</v>
      </c>
      <c r="D52" s="98"/>
      <c r="E52" s="98"/>
      <c r="F52" s="98"/>
      <c r="G52" s="99"/>
      <c r="I52" s="30" t="s">
        <v>144</v>
      </c>
      <c r="J52" s="91" t="s">
        <v>24</v>
      </c>
      <c r="K52" s="32">
        <f>SUMIF($R$29:$R$38, "JP", $T$29:$T$38)</f>
        <v>1400</v>
      </c>
      <c r="L52" s="32">
        <f>SUMIF($R$29:$R$38, "JP", $U$29:$U$38)</f>
        <v>750</v>
      </c>
      <c r="M52" s="32">
        <f t="shared" si="10"/>
        <v>650</v>
      </c>
      <c r="N52" s="33" t="str">
        <f t="shared" si="11"/>
        <v>🟢 净流入</v>
      </c>
    </row>
    <row r="53" ht="19.5" customHeight="1">
      <c r="B53" s="96" t="s">
        <v>145</v>
      </c>
      <c r="C53" s="97" t="s">
        <v>146</v>
      </c>
      <c r="D53" s="98"/>
      <c r="E53" s="98"/>
      <c r="F53" s="98"/>
      <c r="G53" s="99"/>
      <c r="I53" s="30" t="s">
        <v>147</v>
      </c>
      <c r="J53" s="91" t="s">
        <v>37</v>
      </c>
      <c r="K53" s="32">
        <f>SUMIF($R$29:$R$38, "TR", $T$29:$T$38)</f>
        <v>507</v>
      </c>
      <c r="L53" s="32">
        <f>SUMIF($R$29:$R$38, "TR", $U$29:$U$38)</f>
        <v>177</v>
      </c>
      <c r="M53" s="32">
        <f t="shared" si="10"/>
        <v>330</v>
      </c>
      <c r="N53" s="33" t="str">
        <f t="shared" si="11"/>
        <v>🟢 净流入</v>
      </c>
    </row>
    <row r="54" ht="19.5" customHeight="1">
      <c r="B54" s="100" t="s">
        <v>148</v>
      </c>
      <c r="C54" s="101" t="s">
        <v>149</v>
      </c>
      <c r="D54" s="102"/>
      <c r="E54" s="102"/>
      <c r="F54" s="102"/>
      <c r="G54" s="103"/>
      <c r="I54" s="30" t="s">
        <v>150</v>
      </c>
      <c r="J54" s="91" t="s">
        <v>24</v>
      </c>
      <c r="K54" s="32">
        <f>SUMIF($R$29:$R$38, "KR", $T$29:$T$38)</f>
        <v>0</v>
      </c>
      <c r="L54" s="32">
        <f>SUMIF($R$29:$R$38, "KR", $U$29:$U$38)</f>
        <v>820</v>
      </c>
      <c r="M54" s="32">
        <f t="shared" si="10"/>
        <v>-820</v>
      </c>
      <c r="N54" s="33" t="str">
        <f t="shared" si="11"/>
        <v>🔴 净流出</v>
      </c>
    </row>
    <row r="55" ht="19.5" customHeight="1">
      <c r="B55" s="104" t="s">
        <v>151</v>
      </c>
      <c r="C55" s="105" t="s">
        <v>152</v>
      </c>
      <c r="D55" s="106"/>
      <c r="E55" s="106"/>
      <c r="F55" s="106"/>
      <c r="G55" s="107"/>
      <c r="I55" s="108" t="s">
        <v>87</v>
      </c>
      <c r="J55" s="109" t="s">
        <v>153</v>
      </c>
      <c r="K55" s="110">
        <f t="shared" ref="K55:M55" si="13">SUM(K46:K54)</f>
        <v>105874.5</v>
      </c>
      <c r="L55" s="110">
        <f t="shared" si="13"/>
        <v>38569.5</v>
      </c>
      <c r="M55" s="110">
        <f t="shared" si="13"/>
        <v>67305</v>
      </c>
      <c r="N55" s="111" t="s">
        <v>154</v>
      </c>
    </row>
  </sheetData>
  <mergeCells count="34">
    <mergeCell ref="B2:N2"/>
    <mergeCell ref="P2:S2"/>
    <mergeCell ref="B4:N4"/>
    <mergeCell ref="B6:D6"/>
    <mergeCell ref="E6:G6"/>
    <mergeCell ref="I6:K6"/>
    <mergeCell ref="L6:N6"/>
    <mergeCell ref="B7:D7"/>
    <mergeCell ref="E7:G7"/>
    <mergeCell ref="I7:K7"/>
    <mergeCell ref="L7:N7"/>
    <mergeCell ref="E8:G8"/>
    <mergeCell ref="I8:K8"/>
    <mergeCell ref="L8:N8"/>
    <mergeCell ref="P19:S19"/>
    <mergeCell ref="P27:W27"/>
    <mergeCell ref="I37:N37"/>
    <mergeCell ref="I44:N44"/>
    <mergeCell ref="B8:D8"/>
    <mergeCell ref="B9:D9"/>
    <mergeCell ref="E9:G9"/>
    <mergeCell ref="I9:K9"/>
    <mergeCell ref="L9:N9"/>
    <mergeCell ref="I11:N11"/>
    <mergeCell ref="I23:N23"/>
    <mergeCell ref="C54:G54"/>
    <mergeCell ref="C55:G55"/>
    <mergeCell ref="B11:G11"/>
    <mergeCell ref="B23:G23"/>
    <mergeCell ref="B37:G37"/>
    <mergeCell ref="B44:G44"/>
    <mergeCell ref="C51:G51"/>
    <mergeCell ref="C52:G52"/>
    <mergeCell ref="C53:G53"/>
  </mergeCells>
  <conditionalFormatting sqref="B39:B42 I39:I42">
    <cfRule type="containsText" dxfId="5" priority="1" stopIfTrue="1" operator="containsText" text="严重">
      <formula>NOT(ISERROR(SEARCH(("严重"),(B39))))</formula>
    </cfRule>
  </conditionalFormatting>
  <conditionalFormatting sqref="B39:B42 I39:I42">
    <cfRule type="containsText" dxfId="6" priority="2" stopIfTrue="1" operator="containsText" text="排查">
      <formula>NOT(ISERROR(SEARCH(("排查"),(B39))))</formula>
    </cfRule>
  </conditionalFormatting>
  <dataValidations>
    <dataValidation type="custom" allowBlank="1" showDropDown="1" sqref="P5:P17">
      <formula1>OR(NOT(ISERROR(DATEVALUE(P5))), AND(ISNUMBER(P5), LEFT(CELL("format", P5))="D"))</formula1>
    </dataValidation>
    <dataValidation type="custom" allowBlank="1" showDropDown="1" sqref="Q5:S17 Q22:S25">
      <formula1>AND(ISNUMBER(Q5),(NOT(OR(NOT(ISERROR(DATEVALUE(Q5))), AND(ISNUMBER(Q5), LEFT(CELL("format", Q5))="D")))))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5.25"/>
    <col customWidth="1" min="3" max="3" width="15.63"/>
    <col customWidth="1" min="4" max="4" width="19.63"/>
    <col customWidth="1" min="5" max="5" width="14.5"/>
    <col customWidth="1" min="6" max="6" width="18.63"/>
    <col customWidth="1" min="7" max="7" width="17.0"/>
    <col customWidth="1" min="8" max="26" width="8.63"/>
  </cols>
  <sheetData>
    <row r="1" ht="24.0" customHeight="1">
      <c r="A1" s="112" t="s">
        <v>155</v>
      </c>
      <c r="B1" s="113" t="s">
        <v>156</v>
      </c>
      <c r="C1" s="113" t="s">
        <v>157</v>
      </c>
      <c r="D1" s="113" t="s">
        <v>158</v>
      </c>
      <c r="E1" s="113" t="s">
        <v>159</v>
      </c>
      <c r="F1" s="113" t="s">
        <v>160</v>
      </c>
      <c r="G1" s="114" t="s">
        <v>161</v>
      </c>
    </row>
    <row r="2" ht="21.0" customHeight="1">
      <c r="A2" s="115" t="s">
        <v>162</v>
      </c>
      <c r="B2" s="116" t="s">
        <v>163</v>
      </c>
      <c r="C2" s="117" t="s">
        <v>164</v>
      </c>
      <c r="D2" s="117" t="s">
        <v>28</v>
      </c>
      <c r="E2" s="117">
        <v>2.0</v>
      </c>
      <c r="F2" s="117" t="s">
        <v>165</v>
      </c>
      <c r="G2" s="118">
        <v>45306.354166666664</v>
      </c>
    </row>
    <row r="3" ht="21.0" customHeight="1">
      <c r="A3" s="119" t="s">
        <v>166</v>
      </c>
      <c r="B3" s="120" t="s">
        <v>167</v>
      </c>
      <c r="C3" s="121" t="s">
        <v>168</v>
      </c>
      <c r="D3" s="121" t="s">
        <v>24</v>
      </c>
      <c r="E3" s="121">
        <v>3.0</v>
      </c>
      <c r="F3" s="121" t="s">
        <v>165</v>
      </c>
      <c r="G3" s="122">
        <v>45332.59375</v>
      </c>
    </row>
    <row r="4" ht="21.0" customHeight="1">
      <c r="A4" s="115" t="s">
        <v>169</v>
      </c>
      <c r="B4" s="116" t="s">
        <v>170</v>
      </c>
      <c r="C4" s="117" t="s">
        <v>171</v>
      </c>
      <c r="D4" s="117" t="s">
        <v>24</v>
      </c>
      <c r="E4" s="117">
        <v>1.0</v>
      </c>
      <c r="F4" s="117" t="s">
        <v>165</v>
      </c>
      <c r="G4" s="118">
        <v>45356.40625</v>
      </c>
    </row>
    <row r="5" ht="21.0" customHeight="1">
      <c r="A5" s="119" t="s">
        <v>172</v>
      </c>
      <c r="B5" s="120" t="s">
        <v>173</v>
      </c>
      <c r="C5" s="121" t="s">
        <v>174</v>
      </c>
      <c r="D5" s="121" t="s">
        <v>31</v>
      </c>
      <c r="E5" s="121">
        <v>2.0</v>
      </c>
      <c r="F5" s="121" t="s">
        <v>165</v>
      </c>
      <c r="G5" s="122">
        <v>45394.47222222222</v>
      </c>
    </row>
    <row r="6" ht="21.0" customHeight="1">
      <c r="A6" s="115" t="s">
        <v>175</v>
      </c>
      <c r="B6" s="116" t="s">
        <v>176</v>
      </c>
      <c r="C6" s="117" t="s">
        <v>177</v>
      </c>
      <c r="D6" s="117" t="s">
        <v>28</v>
      </c>
      <c r="E6" s="117">
        <v>2.0</v>
      </c>
      <c r="F6" s="117" t="s">
        <v>165</v>
      </c>
      <c r="G6" s="118">
        <v>45430.694444444445</v>
      </c>
    </row>
    <row r="7" ht="21.0" customHeight="1">
      <c r="A7" s="119" t="s">
        <v>178</v>
      </c>
      <c r="B7" s="120" t="s">
        <v>179</v>
      </c>
      <c r="C7" s="121" t="s">
        <v>180</v>
      </c>
      <c r="D7" s="121" t="s">
        <v>24</v>
      </c>
      <c r="E7" s="121">
        <v>3.0</v>
      </c>
      <c r="F7" s="121" t="s">
        <v>165</v>
      </c>
      <c r="G7" s="122">
        <v>45444.42361111111</v>
      </c>
    </row>
    <row r="8" ht="21.0" customHeight="1">
      <c r="A8" s="115" t="s">
        <v>181</v>
      </c>
      <c r="B8" s="116" t="s">
        <v>182</v>
      </c>
      <c r="C8" s="117" t="s">
        <v>183</v>
      </c>
      <c r="D8" s="117" t="s">
        <v>34</v>
      </c>
      <c r="E8" s="117">
        <v>2.0</v>
      </c>
      <c r="F8" s="117" t="s">
        <v>165</v>
      </c>
      <c r="G8" s="118">
        <v>45495.541666666664</v>
      </c>
    </row>
    <row r="9" ht="21.0" customHeight="1">
      <c r="A9" s="119" t="s">
        <v>184</v>
      </c>
      <c r="B9" s="120" t="s">
        <v>185</v>
      </c>
      <c r="C9" s="121" t="s">
        <v>186</v>
      </c>
      <c r="D9" s="121" t="s">
        <v>37</v>
      </c>
      <c r="E9" s="121">
        <v>1.0</v>
      </c>
      <c r="F9" s="121" t="s">
        <v>165</v>
      </c>
      <c r="G9" s="122">
        <v>45534.64236111111</v>
      </c>
    </row>
    <row r="10" ht="21.0" customHeight="1">
      <c r="A10" s="115" t="s">
        <v>187</v>
      </c>
      <c r="B10" s="116" t="s">
        <v>77</v>
      </c>
      <c r="C10" s="117" t="s">
        <v>188</v>
      </c>
      <c r="D10" s="117" t="s">
        <v>24</v>
      </c>
      <c r="E10" s="117">
        <v>2.0</v>
      </c>
      <c r="F10" s="117" t="s">
        <v>189</v>
      </c>
      <c r="G10" s="118">
        <v>45549.78472222222</v>
      </c>
    </row>
    <row r="11" ht="21.0" customHeight="1">
      <c r="A11" s="123" t="s">
        <v>190</v>
      </c>
      <c r="B11" s="124" t="s">
        <v>99</v>
      </c>
      <c r="C11" s="125" t="s">
        <v>164</v>
      </c>
      <c r="D11" s="125" t="s">
        <v>28</v>
      </c>
      <c r="E11" s="125">
        <v>0.0</v>
      </c>
      <c r="F11" s="125" t="s">
        <v>191</v>
      </c>
      <c r="G11" s="126">
        <v>45601.5</v>
      </c>
    </row>
    <row r="12">
      <c r="A12" s="127"/>
    </row>
    <row r="13">
      <c r="A13" s="127"/>
    </row>
    <row r="14">
      <c r="A14" s="127"/>
    </row>
    <row r="15">
      <c r="A15" s="127"/>
    </row>
    <row r="16">
      <c r="A16" s="127"/>
    </row>
    <row r="17">
      <c r="A17" s="127"/>
    </row>
    <row r="18">
      <c r="A18" s="127"/>
    </row>
    <row r="19">
      <c r="A19" s="127"/>
    </row>
    <row r="20">
      <c r="A20" s="127"/>
    </row>
    <row r="21" ht="15.75" customHeight="1">
      <c r="A21" s="127"/>
    </row>
    <row r="22" ht="15.75" customHeight="1">
      <c r="A22" s="127"/>
    </row>
    <row r="23" ht="15.75" customHeight="1">
      <c r="A23" s="127"/>
    </row>
    <row r="24" ht="15.75" customHeight="1">
      <c r="A24" s="127"/>
    </row>
    <row r="25" ht="15.75" customHeight="1">
      <c r="A25" s="127"/>
    </row>
    <row r="26" ht="15.75" customHeight="1">
      <c r="A26" s="127"/>
    </row>
    <row r="27" ht="15.75" customHeight="1">
      <c r="A27" s="127"/>
    </row>
    <row r="28" ht="15.75" customHeight="1">
      <c r="A28" s="127"/>
    </row>
    <row r="29" ht="15.75" customHeight="1">
      <c r="A29" s="127"/>
    </row>
    <row r="30" ht="15.75" customHeight="1">
      <c r="A30" s="127"/>
    </row>
    <row r="31" ht="15.75" customHeight="1">
      <c r="A31" s="127"/>
    </row>
    <row r="32" ht="15.75" customHeight="1">
      <c r="A32" s="127"/>
    </row>
    <row r="33" ht="15.75" customHeight="1">
      <c r="A33" s="127"/>
    </row>
    <row r="34" ht="15.75" customHeight="1">
      <c r="A34" s="127"/>
    </row>
    <row r="35" ht="15.75" customHeight="1">
      <c r="A35" s="127"/>
    </row>
    <row r="36" ht="15.75" customHeight="1">
      <c r="A36" s="127"/>
    </row>
    <row r="37" ht="15.75" customHeight="1">
      <c r="A37" s="127"/>
    </row>
    <row r="38" ht="15.75" customHeight="1">
      <c r="A38" s="127"/>
    </row>
    <row r="39" ht="15.75" customHeight="1">
      <c r="A39" s="127"/>
    </row>
    <row r="40" ht="15.75" customHeight="1">
      <c r="A40" s="127"/>
    </row>
    <row r="41" ht="15.75" customHeight="1">
      <c r="A41" s="127"/>
    </row>
    <row r="42" ht="15.75" customHeight="1">
      <c r="A42" s="127"/>
    </row>
    <row r="43" ht="15.75" customHeight="1">
      <c r="A43" s="127"/>
    </row>
    <row r="44" ht="15.75" customHeight="1">
      <c r="A44" s="127"/>
    </row>
    <row r="45" ht="15.75" customHeight="1">
      <c r="A45" s="127"/>
    </row>
    <row r="46" ht="15.75" customHeight="1">
      <c r="A46" s="127"/>
    </row>
    <row r="47" ht="15.75" customHeight="1">
      <c r="A47" s="127"/>
    </row>
    <row r="48" ht="15.75" customHeight="1">
      <c r="A48" s="127"/>
    </row>
    <row r="49" ht="15.75" customHeight="1">
      <c r="A49" s="127"/>
    </row>
    <row r="50" ht="15.75" customHeight="1">
      <c r="A50" s="127"/>
    </row>
    <row r="51" ht="15.75" customHeight="1">
      <c r="A51" s="127"/>
    </row>
    <row r="52" ht="15.75" customHeight="1">
      <c r="A52" s="127"/>
    </row>
    <row r="53" ht="15.75" customHeight="1">
      <c r="A53" s="127"/>
    </row>
    <row r="54" ht="15.75" customHeight="1">
      <c r="A54" s="127"/>
    </row>
    <row r="55" ht="15.75" customHeight="1">
      <c r="A55" s="127"/>
    </row>
    <row r="56" ht="15.75" customHeight="1">
      <c r="A56" s="127"/>
    </row>
    <row r="57" ht="15.75" customHeight="1">
      <c r="A57" s="127"/>
    </row>
    <row r="58" ht="15.75" customHeight="1">
      <c r="A58" s="127"/>
    </row>
    <row r="59" ht="15.75" customHeight="1">
      <c r="A59" s="127"/>
    </row>
    <row r="60" ht="15.75" customHeight="1">
      <c r="A60" s="127"/>
    </row>
    <row r="61" ht="15.75" customHeight="1">
      <c r="A61" s="127"/>
    </row>
    <row r="62" ht="15.75" customHeight="1">
      <c r="A62" s="127"/>
    </row>
    <row r="63" ht="15.75" customHeight="1">
      <c r="A63" s="127"/>
    </row>
    <row r="64" ht="15.75" customHeight="1">
      <c r="A64" s="127"/>
    </row>
    <row r="65" ht="15.75" customHeight="1">
      <c r="A65" s="127"/>
    </row>
    <row r="66" ht="15.75" customHeight="1">
      <c r="A66" s="127"/>
    </row>
    <row r="67" ht="15.75" customHeight="1">
      <c r="A67" s="127"/>
    </row>
    <row r="68" ht="15.75" customHeight="1">
      <c r="A68" s="127"/>
    </row>
    <row r="69" ht="15.75" customHeight="1">
      <c r="A69" s="127"/>
    </row>
    <row r="70" ht="15.75" customHeight="1">
      <c r="A70" s="127"/>
    </row>
    <row r="71" ht="15.75" customHeight="1">
      <c r="A71" s="127"/>
    </row>
    <row r="72" ht="15.75" customHeight="1">
      <c r="A72" s="127"/>
    </row>
    <row r="73" ht="15.75" customHeight="1">
      <c r="A73" s="127"/>
    </row>
    <row r="74" ht="15.75" customHeight="1">
      <c r="A74" s="127"/>
    </row>
    <row r="75" ht="15.75" customHeight="1">
      <c r="A75" s="127"/>
    </row>
    <row r="76" ht="15.75" customHeight="1">
      <c r="A76" s="127"/>
    </row>
    <row r="77" ht="15.75" customHeight="1">
      <c r="A77" s="127"/>
    </row>
    <row r="78" ht="15.75" customHeight="1">
      <c r="A78" s="127"/>
    </row>
    <row r="79" ht="15.75" customHeight="1">
      <c r="A79" s="127"/>
    </row>
    <row r="80" ht="15.75" customHeight="1">
      <c r="A80" s="127"/>
    </row>
    <row r="81" ht="15.75" customHeight="1">
      <c r="A81" s="127"/>
    </row>
    <row r="82" ht="15.75" customHeight="1">
      <c r="A82" s="127"/>
    </row>
    <row r="83" ht="15.75" customHeight="1">
      <c r="A83" s="127"/>
    </row>
    <row r="84" ht="15.75" customHeight="1">
      <c r="A84" s="127"/>
    </row>
    <row r="85" ht="15.75" customHeight="1">
      <c r="A85" s="127"/>
    </row>
    <row r="86" ht="15.75" customHeight="1">
      <c r="A86" s="127"/>
    </row>
    <row r="87" ht="15.75" customHeight="1">
      <c r="A87" s="127"/>
    </row>
    <row r="88" ht="15.75" customHeight="1">
      <c r="A88" s="127"/>
    </row>
    <row r="89" ht="15.75" customHeight="1">
      <c r="A89" s="127"/>
    </row>
    <row r="90" ht="15.75" customHeight="1">
      <c r="A90" s="127"/>
    </row>
    <row r="91" ht="15.75" customHeight="1">
      <c r="A91" s="127"/>
    </row>
    <row r="92" ht="15.75" customHeight="1">
      <c r="A92" s="127"/>
    </row>
    <row r="93" ht="15.75" customHeight="1">
      <c r="A93" s="127"/>
    </row>
    <row r="94" ht="15.75" customHeight="1">
      <c r="A94" s="127"/>
    </row>
    <row r="95" ht="15.75" customHeight="1">
      <c r="A95" s="127"/>
    </row>
    <row r="96" ht="15.75" customHeight="1">
      <c r="A96" s="127"/>
    </row>
    <row r="97" ht="15.75" customHeight="1">
      <c r="A97" s="127"/>
    </row>
    <row r="98" ht="15.75" customHeight="1">
      <c r="A98" s="127"/>
    </row>
    <row r="99" ht="15.75" customHeight="1">
      <c r="A99" s="127"/>
    </row>
    <row r="100" ht="15.75" customHeight="1">
      <c r="A100" s="127"/>
    </row>
    <row r="101" ht="15.75" customHeight="1">
      <c r="A101" s="127"/>
    </row>
    <row r="102" ht="15.75" customHeight="1">
      <c r="A102" s="127"/>
    </row>
    <row r="103" ht="15.75" customHeight="1">
      <c r="A103" s="127"/>
    </row>
    <row r="104" ht="15.75" customHeight="1">
      <c r="A104" s="127"/>
    </row>
    <row r="105" ht="15.75" customHeight="1">
      <c r="A105" s="127"/>
    </row>
    <row r="106" ht="15.75" customHeight="1">
      <c r="A106" s="127"/>
    </row>
    <row r="107" ht="15.75" customHeight="1">
      <c r="A107" s="127"/>
    </row>
    <row r="108" ht="15.75" customHeight="1">
      <c r="A108" s="127"/>
    </row>
    <row r="109" ht="15.75" customHeight="1">
      <c r="A109" s="127"/>
    </row>
    <row r="110" ht="15.75" customHeight="1">
      <c r="A110" s="127"/>
    </row>
    <row r="111" ht="15.75" customHeight="1">
      <c r="A111" s="127"/>
    </row>
    <row r="112" ht="15.75" customHeight="1">
      <c r="A112" s="127"/>
    </row>
    <row r="113" ht="15.75" customHeight="1">
      <c r="A113" s="127"/>
    </row>
    <row r="114" ht="15.75" customHeight="1">
      <c r="A114" s="127"/>
    </row>
    <row r="115" ht="15.75" customHeight="1">
      <c r="A115" s="127"/>
    </row>
    <row r="116" ht="15.75" customHeight="1">
      <c r="A116" s="127"/>
    </row>
    <row r="117" ht="15.75" customHeight="1">
      <c r="A117" s="127"/>
    </row>
    <row r="118" ht="15.75" customHeight="1">
      <c r="A118" s="127"/>
    </row>
    <row r="119" ht="15.75" customHeight="1">
      <c r="A119" s="127"/>
    </row>
    <row r="120" ht="15.75" customHeight="1">
      <c r="A120" s="127"/>
    </row>
    <row r="121" ht="15.75" customHeight="1">
      <c r="A121" s="127"/>
    </row>
    <row r="122" ht="15.75" customHeight="1">
      <c r="A122" s="127"/>
    </row>
    <row r="123" ht="15.75" customHeight="1">
      <c r="A123" s="127"/>
    </row>
    <row r="124" ht="15.75" customHeight="1">
      <c r="A124" s="127"/>
    </row>
    <row r="125" ht="15.75" customHeight="1">
      <c r="A125" s="127"/>
    </row>
    <row r="126" ht="15.75" customHeight="1">
      <c r="A126" s="127"/>
    </row>
    <row r="127" ht="15.75" customHeight="1">
      <c r="A127" s="127"/>
    </row>
    <row r="128" ht="15.75" customHeight="1">
      <c r="A128" s="127"/>
    </row>
    <row r="129" ht="15.75" customHeight="1">
      <c r="A129" s="127"/>
    </row>
    <row r="130" ht="15.75" customHeight="1">
      <c r="A130" s="127"/>
    </row>
    <row r="131" ht="15.75" customHeight="1">
      <c r="A131" s="127"/>
    </row>
    <row r="132" ht="15.75" customHeight="1">
      <c r="A132" s="127"/>
    </row>
    <row r="133" ht="15.75" customHeight="1">
      <c r="A133" s="127"/>
    </row>
    <row r="134" ht="15.75" customHeight="1">
      <c r="A134" s="127"/>
    </row>
    <row r="135" ht="15.75" customHeight="1">
      <c r="A135" s="127"/>
    </row>
    <row r="136" ht="15.75" customHeight="1">
      <c r="A136" s="127"/>
    </row>
    <row r="137" ht="15.75" customHeight="1">
      <c r="A137" s="127"/>
    </row>
    <row r="138" ht="15.75" customHeight="1">
      <c r="A138" s="127"/>
    </row>
    <row r="139" ht="15.75" customHeight="1">
      <c r="A139" s="127"/>
    </row>
    <row r="140" ht="15.75" customHeight="1">
      <c r="A140" s="127"/>
    </row>
    <row r="141" ht="15.75" customHeight="1">
      <c r="A141" s="127"/>
    </row>
    <row r="142" ht="15.75" customHeight="1">
      <c r="A142" s="127"/>
    </row>
    <row r="143" ht="15.75" customHeight="1">
      <c r="A143" s="127"/>
    </row>
    <row r="144" ht="15.75" customHeight="1">
      <c r="A144" s="127"/>
    </row>
    <row r="145" ht="15.75" customHeight="1">
      <c r="A145" s="127"/>
    </row>
    <row r="146" ht="15.75" customHeight="1">
      <c r="A146" s="127"/>
    </row>
    <row r="147" ht="15.75" customHeight="1">
      <c r="A147" s="127"/>
    </row>
    <row r="148" ht="15.75" customHeight="1">
      <c r="A148" s="127"/>
    </row>
    <row r="149" ht="15.75" customHeight="1">
      <c r="A149" s="127"/>
    </row>
    <row r="150" ht="15.75" customHeight="1">
      <c r="A150" s="127"/>
    </row>
    <row r="151" ht="15.75" customHeight="1">
      <c r="A151" s="127"/>
    </row>
    <row r="152" ht="15.75" customHeight="1">
      <c r="A152" s="127"/>
    </row>
    <row r="153" ht="15.75" customHeight="1">
      <c r="A153" s="127"/>
    </row>
    <row r="154" ht="15.75" customHeight="1">
      <c r="A154" s="127"/>
    </row>
    <row r="155" ht="15.75" customHeight="1">
      <c r="A155" s="127"/>
    </row>
    <row r="156" ht="15.75" customHeight="1">
      <c r="A156" s="127"/>
    </row>
    <row r="157" ht="15.75" customHeight="1">
      <c r="A157" s="127"/>
    </row>
    <row r="158" ht="15.75" customHeight="1">
      <c r="A158" s="127"/>
    </row>
    <row r="159" ht="15.75" customHeight="1">
      <c r="A159" s="127"/>
    </row>
    <row r="160" ht="15.75" customHeight="1">
      <c r="A160" s="127"/>
    </row>
    <row r="161" ht="15.75" customHeight="1">
      <c r="A161" s="127"/>
    </row>
    <row r="162" ht="15.75" customHeight="1">
      <c r="A162" s="127"/>
    </row>
    <row r="163" ht="15.75" customHeight="1">
      <c r="A163" s="127"/>
    </row>
    <row r="164" ht="15.75" customHeight="1">
      <c r="A164" s="127"/>
    </row>
    <row r="165" ht="15.75" customHeight="1">
      <c r="A165" s="127"/>
    </row>
    <row r="166" ht="15.75" customHeight="1">
      <c r="A166" s="127"/>
    </row>
    <row r="167" ht="15.75" customHeight="1">
      <c r="A167" s="127"/>
    </row>
    <row r="168" ht="15.75" customHeight="1">
      <c r="A168" s="127"/>
    </row>
    <row r="169" ht="15.75" customHeight="1">
      <c r="A169" s="127"/>
    </row>
    <row r="170" ht="15.75" customHeight="1">
      <c r="A170" s="127"/>
    </row>
    <row r="171" ht="15.75" customHeight="1">
      <c r="A171" s="127"/>
    </row>
    <row r="172" ht="15.75" customHeight="1">
      <c r="A172" s="127"/>
    </row>
    <row r="173" ht="15.75" customHeight="1">
      <c r="A173" s="127"/>
    </row>
    <row r="174" ht="15.75" customHeight="1">
      <c r="A174" s="127"/>
    </row>
    <row r="175" ht="15.75" customHeight="1">
      <c r="A175" s="127"/>
    </row>
    <row r="176" ht="15.75" customHeight="1">
      <c r="A176" s="127"/>
    </row>
    <row r="177" ht="15.75" customHeight="1">
      <c r="A177" s="127"/>
    </row>
    <row r="178" ht="15.75" customHeight="1">
      <c r="A178" s="127"/>
    </row>
    <row r="179" ht="15.75" customHeight="1">
      <c r="A179" s="127"/>
    </row>
    <row r="180" ht="15.75" customHeight="1">
      <c r="A180" s="127"/>
    </row>
    <row r="181" ht="15.75" customHeight="1">
      <c r="A181" s="127"/>
    </row>
    <row r="182" ht="15.75" customHeight="1">
      <c r="A182" s="127"/>
    </row>
    <row r="183" ht="15.75" customHeight="1">
      <c r="A183" s="127"/>
    </row>
    <row r="184" ht="15.75" customHeight="1">
      <c r="A184" s="127"/>
    </row>
    <row r="185" ht="15.75" customHeight="1">
      <c r="A185" s="127"/>
    </row>
    <row r="186" ht="15.75" customHeight="1">
      <c r="A186" s="127"/>
    </row>
    <row r="187" ht="15.75" customHeight="1">
      <c r="A187" s="127"/>
    </row>
    <row r="188" ht="15.75" customHeight="1">
      <c r="A188" s="127"/>
    </row>
    <row r="189" ht="15.75" customHeight="1">
      <c r="A189" s="127"/>
    </row>
    <row r="190" ht="15.75" customHeight="1">
      <c r="A190" s="127"/>
    </row>
    <row r="191" ht="15.75" customHeight="1">
      <c r="A191" s="127"/>
    </row>
    <row r="192" ht="15.75" customHeight="1">
      <c r="A192" s="127"/>
    </row>
    <row r="193" ht="15.75" customHeight="1">
      <c r="A193" s="127"/>
    </row>
    <row r="194" ht="15.75" customHeight="1">
      <c r="A194" s="127"/>
    </row>
    <row r="195" ht="15.75" customHeight="1">
      <c r="A195" s="127"/>
    </row>
    <row r="196" ht="15.75" customHeight="1">
      <c r="A196" s="127"/>
    </row>
    <row r="197" ht="15.75" customHeight="1">
      <c r="A197" s="127"/>
    </row>
    <row r="198" ht="15.75" customHeight="1">
      <c r="A198" s="127"/>
    </row>
    <row r="199" ht="15.75" customHeight="1">
      <c r="A199" s="127"/>
    </row>
    <row r="200" ht="15.75" customHeight="1">
      <c r="A200" s="127"/>
    </row>
    <row r="201" ht="15.75" customHeight="1">
      <c r="A201" s="127"/>
    </row>
    <row r="202" ht="15.75" customHeight="1">
      <c r="A202" s="127"/>
    </row>
    <row r="203" ht="15.75" customHeight="1">
      <c r="A203" s="127"/>
    </row>
    <row r="204" ht="15.75" customHeight="1">
      <c r="A204" s="127"/>
    </row>
    <row r="205" ht="15.75" customHeight="1">
      <c r="A205" s="127"/>
    </row>
    <row r="206" ht="15.75" customHeight="1">
      <c r="A206" s="127"/>
    </row>
    <row r="207" ht="15.75" customHeight="1">
      <c r="A207" s="127"/>
    </row>
    <row r="208" ht="15.75" customHeight="1">
      <c r="A208" s="127"/>
    </row>
    <row r="209" ht="15.75" customHeight="1">
      <c r="A209" s="127"/>
    </row>
    <row r="210" ht="15.75" customHeight="1">
      <c r="A210" s="127"/>
    </row>
    <row r="211" ht="15.75" customHeight="1">
      <c r="A211" s="127"/>
    </row>
    <row r="212" ht="15.75" customHeight="1">
      <c r="A212" s="127"/>
    </row>
    <row r="213" ht="15.75" customHeight="1">
      <c r="A213" s="127"/>
    </row>
    <row r="214" ht="15.75" customHeight="1">
      <c r="A214" s="127"/>
    </row>
    <row r="215" ht="15.75" customHeight="1">
      <c r="A215" s="127"/>
    </row>
    <row r="216" ht="15.75" customHeight="1">
      <c r="A216" s="127"/>
    </row>
    <row r="217" ht="15.75" customHeight="1">
      <c r="A217" s="127"/>
    </row>
    <row r="218" ht="15.75" customHeight="1">
      <c r="A218" s="127"/>
    </row>
    <row r="219" ht="15.75" customHeight="1">
      <c r="A219" s="127"/>
    </row>
    <row r="220" ht="15.75" customHeight="1">
      <c r="A220" s="127"/>
    </row>
    <row r="221" ht="15.75" customHeight="1">
      <c r="A221" s="127"/>
    </row>
    <row r="222" ht="15.75" customHeight="1">
      <c r="A222" s="127"/>
    </row>
    <row r="223" ht="15.75" customHeight="1">
      <c r="A223" s="127"/>
    </row>
    <row r="224" ht="15.75" customHeight="1">
      <c r="A224" s="127"/>
    </row>
    <row r="225" ht="15.75" customHeight="1">
      <c r="A225" s="127"/>
    </row>
    <row r="226" ht="15.75" customHeight="1">
      <c r="A226" s="127"/>
    </row>
    <row r="227" ht="15.75" customHeight="1">
      <c r="A227" s="127"/>
    </row>
    <row r="228" ht="15.75" customHeight="1">
      <c r="A228" s="127"/>
    </row>
    <row r="229" ht="15.75" customHeight="1">
      <c r="A229" s="127"/>
    </row>
    <row r="230" ht="15.75" customHeight="1">
      <c r="A230" s="127"/>
    </row>
    <row r="231" ht="15.75" customHeight="1">
      <c r="A231" s="127"/>
    </row>
    <row r="232" ht="15.75" customHeight="1">
      <c r="A232" s="127"/>
    </row>
    <row r="233" ht="15.75" customHeight="1">
      <c r="A233" s="127"/>
    </row>
    <row r="234" ht="15.75" customHeight="1">
      <c r="A234" s="127"/>
    </row>
    <row r="235" ht="15.75" customHeight="1">
      <c r="A235" s="127"/>
    </row>
    <row r="236" ht="15.75" customHeight="1">
      <c r="A236" s="127"/>
    </row>
    <row r="237" ht="15.75" customHeight="1">
      <c r="A237" s="127"/>
    </row>
    <row r="238" ht="15.75" customHeight="1">
      <c r="A238" s="127"/>
    </row>
    <row r="239" ht="15.75" customHeight="1">
      <c r="A239" s="127"/>
    </row>
    <row r="240" ht="15.75" customHeight="1">
      <c r="A240" s="127"/>
    </row>
    <row r="241" ht="15.75" customHeight="1">
      <c r="A241" s="127"/>
    </row>
    <row r="242" ht="15.75" customHeight="1">
      <c r="A242" s="127"/>
    </row>
    <row r="243" ht="15.75" customHeight="1">
      <c r="A243" s="127"/>
    </row>
    <row r="244" ht="15.75" customHeight="1">
      <c r="A244" s="127"/>
    </row>
    <row r="245" ht="15.75" customHeight="1">
      <c r="A245" s="127"/>
    </row>
    <row r="246" ht="15.75" customHeight="1">
      <c r="A246" s="127"/>
    </row>
    <row r="247" ht="15.75" customHeight="1">
      <c r="A247" s="127"/>
    </row>
    <row r="248" ht="15.75" customHeight="1">
      <c r="A248" s="127"/>
    </row>
    <row r="249" ht="15.75" customHeight="1">
      <c r="A249" s="127"/>
    </row>
    <row r="250" ht="15.75" customHeight="1">
      <c r="A250" s="127"/>
    </row>
    <row r="251" ht="15.75" customHeight="1">
      <c r="A251" s="127"/>
    </row>
    <row r="252" ht="15.75" customHeight="1">
      <c r="A252" s="127"/>
    </row>
    <row r="253" ht="15.75" customHeight="1">
      <c r="A253" s="127"/>
    </row>
    <row r="254" ht="15.75" customHeight="1">
      <c r="A254" s="127"/>
    </row>
    <row r="255" ht="15.75" customHeight="1">
      <c r="A255" s="127"/>
    </row>
    <row r="256" ht="15.75" customHeight="1">
      <c r="A256" s="127"/>
    </row>
    <row r="257" ht="15.75" customHeight="1">
      <c r="A257" s="127"/>
    </row>
    <row r="258" ht="15.75" customHeight="1">
      <c r="A258" s="127"/>
    </row>
    <row r="259" ht="15.75" customHeight="1">
      <c r="A259" s="127"/>
    </row>
    <row r="260" ht="15.75" customHeight="1">
      <c r="A260" s="127"/>
    </row>
    <row r="261" ht="15.75" customHeight="1">
      <c r="A261" s="127"/>
    </row>
    <row r="262" ht="15.75" customHeight="1">
      <c r="A262" s="127"/>
    </row>
    <row r="263" ht="15.75" customHeight="1">
      <c r="A263" s="127"/>
    </row>
    <row r="264" ht="15.75" customHeight="1">
      <c r="A264" s="127"/>
    </row>
    <row r="265" ht="15.75" customHeight="1">
      <c r="A265" s="127"/>
    </row>
    <row r="266" ht="15.75" customHeight="1">
      <c r="A266" s="127"/>
    </row>
    <row r="267" ht="15.75" customHeight="1">
      <c r="A267" s="127"/>
    </row>
    <row r="268" ht="15.75" customHeight="1">
      <c r="A268" s="127"/>
    </row>
    <row r="269" ht="15.75" customHeight="1">
      <c r="A269" s="127"/>
    </row>
    <row r="270" ht="15.75" customHeight="1">
      <c r="A270" s="127"/>
    </row>
    <row r="271" ht="15.75" customHeight="1">
      <c r="A271" s="127"/>
    </row>
    <row r="272" ht="15.75" customHeight="1">
      <c r="A272" s="127"/>
    </row>
    <row r="273" ht="15.75" customHeight="1">
      <c r="A273" s="127"/>
    </row>
    <row r="274" ht="15.75" customHeight="1">
      <c r="A274" s="127"/>
    </row>
    <row r="275" ht="15.75" customHeight="1">
      <c r="A275" s="127"/>
    </row>
    <row r="276" ht="15.75" customHeight="1">
      <c r="A276" s="127"/>
    </row>
    <row r="277" ht="15.75" customHeight="1">
      <c r="A277" s="127"/>
    </row>
    <row r="278" ht="15.75" customHeight="1">
      <c r="A278" s="127"/>
    </row>
    <row r="279" ht="15.75" customHeight="1">
      <c r="A279" s="127"/>
    </row>
    <row r="280" ht="15.75" customHeight="1">
      <c r="A280" s="127"/>
    </row>
    <row r="281" ht="15.75" customHeight="1">
      <c r="A281" s="127"/>
    </row>
    <row r="282" ht="15.75" customHeight="1">
      <c r="A282" s="127"/>
    </row>
    <row r="283" ht="15.75" customHeight="1">
      <c r="A283" s="127"/>
    </row>
    <row r="284" ht="15.75" customHeight="1">
      <c r="A284" s="127"/>
    </row>
    <row r="285" ht="15.75" customHeight="1">
      <c r="A285" s="127"/>
    </row>
    <row r="286" ht="15.75" customHeight="1">
      <c r="A286" s="127"/>
    </row>
    <row r="287" ht="15.75" customHeight="1">
      <c r="A287" s="127"/>
    </row>
    <row r="288" ht="15.75" customHeight="1">
      <c r="A288" s="127"/>
    </row>
    <row r="289" ht="15.75" customHeight="1">
      <c r="A289" s="127"/>
    </row>
    <row r="290" ht="15.75" customHeight="1">
      <c r="A290" s="127"/>
    </row>
    <row r="291" ht="15.75" customHeight="1">
      <c r="A291" s="127"/>
    </row>
    <row r="292" ht="15.75" customHeight="1">
      <c r="A292" s="127"/>
    </row>
    <row r="293" ht="15.75" customHeight="1">
      <c r="A293" s="127"/>
    </row>
    <row r="294" ht="15.75" customHeight="1">
      <c r="A294" s="127"/>
    </row>
    <row r="295" ht="15.75" customHeight="1">
      <c r="A295" s="127"/>
    </row>
    <row r="296" ht="15.75" customHeight="1">
      <c r="A296" s="127"/>
    </row>
    <row r="297" ht="15.75" customHeight="1">
      <c r="A297" s="127"/>
    </row>
    <row r="298" ht="15.75" customHeight="1">
      <c r="A298" s="127"/>
    </row>
    <row r="299" ht="15.75" customHeight="1">
      <c r="A299" s="127"/>
    </row>
    <row r="300" ht="15.75" customHeight="1">
      <c r="A300" s="127"/>
    </row>
    <row r="301" ht="15.75" customHeight="1">
      <c r="A301" s="127"/>
    </row>
    <row r="302" ht="15.75" customHeight="1">
      <c r="A302" s="127"/>
    </row>
    <row r="303" ht="15.75" customHeight="1">
      <c r="A303" s="127"/>
    </row>
    <row r="304" ht="15.75" customHeight="1">
      <c r="A304" s="127"/>
    </row>
    <row r="305" ht="15.75" customHeight="1">
      <c r="A305" s="127"/>
    </row>
    <row r="306" ht="15.75" customHeight="1">
      <c r="A306" s="127"/>
    </row>
    <row r="307" ht="15.75" customHeight="1">
      <c r="A307" s="127"/>
    </row>
    <row r="308" ht="15.75" customHeight="1">
      <c r="A308" s="127"/>
    </row>
    <row r="309" ht="15.75" customHeight="1">
      <c r="A309" s="127"/>
    </row>
    <row r="310" ht="15.75" customHeight="1">
      <c r="A310" s="127"/>
    </row>
    <row r="311" ht="15.75" customHeight="1">
      <c r="A311" s="127"/>
    </row>
    <row r="312" ht="15.75" customHeight="1">
      <c r="A312" s="127"/>
    </row>
    <row r="313" ht="15.75" customHeight="1">
      <c r="A313" s="127"/>
    </row>
    <row r="314" ht="15.75" customHeight="1">
      <c r="A314" s="127"/>
    </row>
    <row r="315" ht="15.75" customHeight="1">
      <c r="A315" s="127"/>
    </row>
    <row r="316" ht="15.75" customHeight="1">
      <c r="A316" s="127"/>
    </row>
    <row r="317" ht="15.75" customHeight="1">
      <c r="A317" s="127"/>
    </row>
    <row r="318" ht="15.75" customHeight="1">
      <c r="A318" s="127"/>
    </row>
    <row r="319" ht="15.75" customHeight="1">
      <c r="A319" s="127"/>
    </row>
    <row r="320" ht="15.75" customHeight="1">
      <c r="A320" s="127"/>
    </row>
    <row r="321" ht="15.75" customHeight="1">
      <c r="A321" s="127"/>
    </row>
    <row r="322" ht="15.75" customHeight="1">
      <c r="A322" s="127"/>
    </row>
    <row r="323" ht="15.75" customHeight="1">
      <c r="A323" s="127"/>
    </row>
    <row r="324" ht="15.75" customHeight="1">
      <c r="A324" s="127"/>
    </row>
    <row r="325" ht="15.75" customHeight="1">
      <c r="A325" s="127"/>
    </row>
    <row r="326" ht="15.75" customHeight="1">
      <c r="A326" s="127"/>
    </row>
    <row r="327" ht="15.75" customHeight="1">
      <c r="A327" s="127"/>
    </row>
    <row r="328" ht="15.75" customHeight="1">
      <c r="A328" s="127"/>
    </row>
    <row r="329" ht="15.75" customHeight="1">
      <c r="A329" s="127"/>
    </row>
    <row r="330" ht="15.75" customHeight="1">
      <c r="A330" s="127"/>
    </row>
    <row r="331" ht="15.75" customHeight="1">
      <c r="A331" s="127"/>
    </row>
    <row r="332" ht="15.75" customHeight="1">
      <c r="A332" s="127"/>
    </row>
    <row r="333" ht="15.75" customHeight="1">
      <c r="A333" s="127"/>
    </row>
    <row r="334" ht="15.75" customHeight="1">
      <c r="A334" s="127"/>
    </row>
    <row r="335" ht="15.75" customHeight="1">
      <c r="A335" s="127"/>
    </row>
    <row r="336" ht="15.75" customHeight="1">
      <c r="A336" s="127"/>
    </row>
    <row r="337" ht="15.75" customHeight="1">
      <c r="A337" s="127"/>
    </row>
    <row r="338" ht="15.75" customHeight="1">
      <c r="A338" s="127"/>
    </row>
    <row r="339" ht="15.75" customHeight="1">
      <c r="A339" s="127"/>
    </row>
    <row r="340" ht="15.75" customHeight="1">
      <c r="A340" s="127"/>
    </row>
    <row r="341" ht="15.75" customHeight="1">
      <c r="A341" s="127"/>
    </row>
    <row r="342" ht="15.75" customHeight="1">
      <c r="A342" s="127"/>
    </row>
    <row r="343" ht="15.75" customHeight="1">
      <c r="A343" s="127"/>
    </row>
    <row r="344" ht="15.75" customHeight="1">
      <c r="A344" s="127"/>
    </row>
    <row r="345" ht="15.75" customHeight="1">
      <c r="A345" s="127"/>
    </row>
    <row r="346" ht="15.75" customHeight="1">
      <c r="A346" s="127"/>
    </row>
    <row r="347" ht="15.75" customHeight="1">
      <c r="A347" s="127"/>
    </row>
    <row r="348" ht="15.75" customHeight="1">
      <c r="A348" s="127"/>
    </row>
    <row r="349" ht="15.75" customHeight="1">
      <c r="A349" s="127"/>
    </row>
    <row r="350" ht="15.75" customHeight="1">
      <c r="A350" s="127"/>
    </row>
    <row r="351" ht="15.75" customHeight="1">
      <c r="A351" s="127"/>
    </row>
    <row r="352" ht="15.75" customHeight="1">
      <c r="A352" s="127"/>
    </row>
    <row r="353" ht="15.75" customHeight="1">
      <c r="A353" s="127"/>
    </row>
    <row r="354" ht="15.75" customHeight="1">
      <c r="A354" s="127"/>
    </row>
    <row r="355" ht="15.75" customHeight="1">
      <c r="A355" s="127"/>
    </row>
    <row r="356" ht="15.75" customHeight="1">
      <c r="A356" s="127"/>
    </row>
    <row r="357" ht="15.75" customHeight="1">
      <c r="A357" s="127"/>
    </row>
    <row r="358" ht="15.75" customHeight="1">
      <c r="A358" s="127"/>
    </row>
    <row r="359" ht="15.75" customHeight="1">
      <c r="A359" s="127"/>
    </row>
    <row r="360" ht="15.75" customHeight="1">
      <c r="A360" s="127"/>
    </row>
    <row r="361" ht="15.75" customHeight="1">
      <c r="A361" s="127"/>
    </row>
    <row r="362" ht="15.75" customHeight="1">
      <c r="A362" s="127"/>
    </row>
    <row r="363" ht="15.75" customHeight="1">
      <c r="A363" s="127"/>
    </row>
    <row r="364" ht="15.75" customHeight="1">
      <c r="A364" s="127"/>
    </row>
    <row r="365" ht="15.75" customHeight="1">
      <c r="A365" s="127"/>
    </row>
    <row r="366" ht="15.75" customHeight="1">
      <c r="A366" s="127"/>
    </row>
    <row r="367" ht="15.75" customHeight="1">
      <c r="A367" s="127"/>
    </row>
    <row r="368" ht="15.75" customHeight="1">
      <c r="A368" s="127"/>
    </row>
    <row r="369" ht="15.75" customHeight="1">
      <c r="A369" s="127"/>
    </row>
    <row r="370" ht="15.75" customHeight="1">
      <c r="A370" s="127"/>
    </row>
    <row r="371" ht="15.75" customHeight="1">
      <c r="A371" s="127"/>
    </row>
    <row r="372" ht="15.75" customHeight="1">
      <c r="A372" s="127"/>
    </row>
    <row r="373" ht="15.75" customHeight="1">
      <c r="A373" s="127"/>
    </row>
    <row r="374" ht="15.75" customHeight="1">
      <c r="A374" s="127"/>
    </row>
    <row r="375" ht="15.75" customHeight="1">
      <c r="A375" s="127"/>
    </row>
    <row r="376" ht="15.75" customHeight="1">
      <c r="A376" s="127"/>
    </row>
    <row r="377" ht="15.75" customHeight="1">
      <c r="A377" s="127"/>
    </row>
    <row r="378" ht="15.75" customHeight="1">
      <c r="A378" s="127"/>
    </row>
    <row r="379" ht="15.75" customHeight="1">
      <c r="A379" s="127"/>
    </row>
    <row r="380" ht="15.75" customHeight="1">
      <c r="A380" s="127"/>
    </row>
    <row r="381" ht="15.75" customHeight="1">
      <c r="A381" s="127"/>
    </row>
    <row r="382" ht="15.75" customHeight="1">
      <c r="A382" s="127"/>
    </row>
    <row r="383" ht="15.75" customHeight="1">
      <c r="A383" s="127"/>
    </row>
    <row r="384" ht="15.75" customHeight="1">
      <c r="A384" s="127"/>
    </row>
    <row r="385" ht="15.75" customHeight="1">
      <c r="A385" s="127"/>
    </row>
    <row r="386" ht="15.75" customHeight="1">
      <c r="A386" s="127"/>
    </row>
    <row r="387" ht="15.75" customHeight="1">
      <c r="A387" s="127"/>
    </row>
    <row r="388" ht="15.75" customHeight="1">
      <c r="A388" s="127"/>
    </row>
    <row r="389" ht="15.75" customHeight="1">
      <c r="A389" s="127"/>
    </row>
    <row r="390" ht="15.75" customHeight="1">
      <c r="A390" s="127"/>
    </row>
    <row r="391" ht="15.75" customHeight="1">
      <c r="A391" s="127"/>
    </row>
    <row r="392" ht="15.75" customHeight="1">
      <c r="A392" s="127"/>
    </row>
    <row r="393" ht="15.75" customHeight="1">
      <c r="A393" s="127"/>
    </row>
    <row r="394" ht="15.75" customHeight="1">
      <c r="A394" s="127"/>
    </row>
    <row r="395" ht="15.75" customHeight="1">
      <c r="A395" s="127"/>
    </row>
    <row r="396" ht="15.75" customHeight="1">
      <c r="A396" s="127"/>
    </row>
    <row r="397" ht="15.75" customHeight="1">
      <c r="A397" s="127"/>
    </row>
    <row r="398" ht="15.75" customHeight="1">
      <c r="A398" s="127"/>
    </row>
    <row r="399" ht="15.75" customHeight="1">
      <c r="A399" s="127"/>
    </row>
    <row r="400" ht="15.75" customHeight="1">
      <c r="A400" s="127"/>
    </row>
    <row r="401" ht="15.75" customHeight="1">
      <c r="A401" s="127"/>
    </row>
    <row r="402" ht="15.75" customHeight="1">
      <c r="A402" s="127"/>
    </row>
    <row r="403" ht="15.75" customHeight="1">
      <c r="A403" s="127"/>
    </row>
    <row r="404" ht="15.75" customHeight="1">
      <c r="A404" s="127"/>
    </row>
    <row r="405" ht="15.75" customHeight="1">
      <c r="A405" s="127"/>
    </row>
    <row r="406" ht="15.75" customHeight="1">
      <c r="A406" s="127"/>
    </row>
    <row r="407" ht="15.75" customHeight="1">
      <c r="A407" s="127"/>
    </row>
    <row r="408" ht="15.75" customHeight="1">
      <c r="A408" s="127"/>
    </row>
    <row r="409" ht="15.75" customHeight="1">
      <c r="A409" s="127"/>
    </row>
    <row r="410" ht="15.75" customHeight="1">
      <c r="A410" s="127"/>
    </row>
    <row r="411" ht="15.75" customHeight="1">
      <c r="A411" s="127"/>
    </row>
    <row r="412" ht="15.75" customHeight="1">
      <c r="A412" s="127"/>
    </row>
    <row r="413" ht="15.75" customHeight="1">
      <c r="A413" s="127"/>
    </row>
    <row r="414" ht="15.75" customHeight="1">
      <c r="A414" s="127"/>
    </row>
    <row r="415" ht="15.75" customHeight="1">
      <c r="A415" s="127"/>
    </row>
    <row r="416" ht="15.75" customHeight="1">
      <c r="A416" s="127"/>
    </row>
    <row r="417" ht="15.75" customHeight="1">
      <c r="A417" s="127"/>
    </row>
    <row r="418" ht="15.75" customHeight="1">
      <c r="A418" s="127"/>
    </row>
    <row r="419" ht="15.75" customHeight="1">
      <c r="A419" s="127"/>
    </row>
    <row r="420" ht="15.75" customHeight="1">
      <c r="A420" s="127"/>
    </row>
    <row r="421" ht="15.75" customHeight="1">
      <c r="A421" s="127"/>
    </row>
    <row r="422" ht="15.75" customHeight="1">
      <c r="A422" s="127"/>
    </row>
    <row r="423" ht="15.75" customHeight="1">
      <c r="A423" s="127"/>
    </row>
    <row r="424" ht="15.75" customHeight="1">
      <c r="A424" s="127"/>
    </row>
    <row r="425" ht="15.75" customHeight="1">
      <c r="A425" s="127"/>
    </row>
    <row r="426" ht="15.75" customHeight="1">
      <c r="A426" s="127"/>
    </row>
    <row r="427" ht="15.75" customHeight="1">
      <c r="A427" s="127"/>
    </row>
    <row r="428" ht="15.75" customHeight="1">
      <c r="A428" s="127"/>
    </row>
    <row r="429" ht="15.75" customHeight="1">
      <c r="A429" s="127"/>
    </row>
    <row r="430" ht="15.75" customHeight="1">
      <c r="A430" s="127"/>
    </row>
    <row r="431" ht="15.75" customHeight="1">
      <c r="A431" s="127"/>
    </row>
    <row r="432" ht="15.75" customHeight="1">
      <c r="A432" s="127"/>
    </row>
    <row r="433" ht="15.75" customHeight="1">
      <c r="A433" s="127"/>
    </row>
    <row r="434" ht="15.75" customHeight="1">
      <c r="A434" s="127"/>
    </row>
    <row r="435" ht="15.75" customHeight="1">
      <c r="A435" s="127"/>
    </row>
    <row r="436" ht="15.75" customHeight="1">
      <c r="A436" s="127"/>
    </row>
    <row r="437" ht="15.75" customHeight="1">
      <c r="A437" s="127"/>
    </row>
    <row r="438" ht="15.75" customHeight="1">
      <c r="A438" s="127"/>
    </row>
    <row r="439" ht="15.75" customHeight="1">
      <c r="A439" s="127"/>
    </row>
    <row r="440" ht="15.75" customHeight="1">
      <c r="A440" s="127"/>
    </row>
    <row r="441" ht="15.75" customHeight="1">
      <c r="A441" s="127"/>
    </row>
    <row r="442" ht="15.75" customHeight="1">
      <c r="A442" s="127"/>
    </row>
    <row r="443" ht="15.75" customHeight="1">
      <c r="A443" s="127"/>
    </row>
    <row r="444" ht="15.75" customHeight="1">
      <c r="A444" s="127"/>
    </row>
    <row r="445" ht="15.75" customHeight="1">
      <c r="A445" s="127"/>
    </row>
    <row r="446" ht="15.75" customHeight="1">
      <c r="A446" s="127"/>
    </row>
    <row r="447" ht="15.75" customHeight="1">
      <c r="A447" s="127"/>
    </row>
    <row r="448" ht="15.75" customHeight="1">
      <c r="A448" s="127"/>
    </row>
    <row r="449" ht="15.75" customHeight="1">
      <c r="A449" s="127"/>
    </row>
    <row r="450" ht="15.75" customHeight="1">
      <c r="A450" s="127"/>
    </row>
    <row r="451" ht="15.75" customHeight="1">
      <c r="A451" s="127"/>
    </row>
    <row r="452" ht="15.75" customHeight="1">
      <c r="A452" s="127"/>
    </row>
    <row r="453" ht="15.75" customHeight="1">
      <c r="A453" s="127"/>
    </row>
    <row r="454" ht="15.75" customHeight="1">
      <c r="A454" s="127"/>
    </row>
    <row r="455" ht="15.75" customHeight="1">
      <c r="A455" s="127"/>
    </row>
    <row r="456" ht="15.75" customHeight="1">
      <c r="A456" s="127"/>
    </row>
    <row r="457" ht="15.75" customHeight="1">
      <c r="A457" s="127"/>
    </row>
    <row r="458" ht="15.75" customHeight="1">
      <c r="A458" s="127"/>
    </row>
    <row r="459" ht="15.75" customHeight="1">
      <c r="A459" s="127"/>
    </row>
    <row r="460" ht="15.75" customHeight="1">
      <c r="A460" s="127"/>
    </row>
    <row r="461" ht="15.75" customHeight="1">
      <c r="A461" s="127"/>
    </row>
    <row r="462" ht="15.75" customHeight="1">
      <c r="A462" s="127"/>
    </row>
    <row r="463" ht="15.75" customHeight="1">
      <c r="A463" s="127"/>
    </row>
    <row r="464" ht="15.75" customHeight="1">
      <c r="A464" s="127"/>
    </row>
    <row r="465" ht="15.75" customHeight="1">
      <c r="A465" s="127"/>
    </row>
    <row r="466" ht="15.75" customHeight="1">
      <c r="A466" s="127"/>
    </row>
    <row r="467" ht="15.75" customHeight="1">
      <c r="A467" s="127"/>
    </row>
    <row r="468" ht="15.75" customHeight="1">
      <c r="A468" s="127"/>
    </row>
    <row r="469" ht="15.75" customHeight="1">
      <c r="A469" s="127"/>
    </row>
    <row r="470" ht="15.75" customHeight="1">
      <c r="A470" s="127"/>
    </row>
    <row r="471" ht="15.75" customHeight="1">
      <c r="A471" s="127"/>
    </row>
    <row r="472" ht="15.75" customHeight="1">
      <c r="A472" s="127"/>
    </row>
    <row r="473" ht="15.75" customHeight="1">
      <c r="A473" s="127"/>
    </row>
    <row r="474" ht="15.75" customHeight="1">
      <c r="A474" s="127"/>
    </row>
    <row r="475" ht="15.75" customHeight="1">
      <c r="A475" s="127"/>
    </row>
    <row r="476" ht="15.75" customHeight="1">
      <c r="A476" s="127"/>
    </row>
    <row r="477" ht="15.75" customHeight="1">
      <c r="A477" s="127"/>
    </row>
    <row r="478" ht="15.75" customHeight="1">
      <c r="A478" s="127"/>
    </row>
    <row r="479" ht="15.75" customHeight="1">
      <c r="A479" s="127"/>
    </row>
    <row r="480" ht="15.75" customHeight="1">
      <c r="A480" s="127"/>
    </row>
    <row r="481" ht="15.75" customHeight="1">
      <c r="A481" s="127"/>
    </row>
    <row r="482" ht="15.75" customHeight="1">
      <c r="A482" s="127"/>
    </row>
    <row r="483" ht="15.75" customHeight="1">
      <c r="A483" s="127"/>
    </row>
    <row r="484" ht="15.75" customHeight="1">
      <c r="A484" s="127"/>
    </row>
    <row r="485" ht="15.75" customHeight="1">
      <c r="A485" s="127"/>
    </row>
    <row r="486" ht="15.75" customHeight="1">
      <c r="A486" s="127"/>
    </row>
    <row r="487" ht="15.75" customHeight="1">
      <c r="A487" s="127"/>
    </row>
    <row r="488" ht="15.75" customHeight="1">
      <c r="A488" s="127"/>
    </row>
    <row r="489" ht="15.75" customHeight="1">
      <c r="A489" s="127"/>
    </row>
    <row r="490" ht="15.75" customHeight="1">
      <c r="A490" s="127"/>
    </row>
    <row r="491" ht="15.75" customHeight="1">
      <c r="A491" s="127"/>
    </row>
    <row r="492" ht="15.75" customHeight="1">
      <c r="A492" s="127"/>
    </row>
    <row r="493" ht="15.75" customHeight="1">
      <c r="A493" s="127"/>
    </row>
    <row r="494" ht="15.75" customHeight="1">
      <c r="A494" s="127"/>
    </row>
    <row r="495" ht="15.75" customHeight="1">
      <c r="A495" s="127"/>
    </row>
    <row r="496" ht="15.75" customHeight="1">
      <c r="A496" s="127"/>
    </row>
    <row r="497" ht="15.75" customHeight="1">
      <c r="A497" s="127"/>
    </row>
    <row r="498" ht="15.75" customHeight="1">
      <c r="A498" s="127"/>
    </row>
    <row r="499" ht="15.75" customHeight="1">
      <c r="A499" s="127"/>
    </row>
    <row r="500" ht="15.75" customHeight="1">
      <c r="A500" s="127"/>
    </row>
    <row r="501" ht="15.75" customHeight="1">
      <c r="A501" s="127"/>
    </row>
    <row r="502" ht="15.75" customHeight="1">
      <c r="A502" s="127"/>
    </row>
    <row r="503" ht="15.75" customHeight="1">
      <c r="A503" s="127"/>
    </row>
    <row r="504" ht="15.75" customHeight="1">
      <c r="A504" s="127"/>
    </row>
    <row r="505" ht="15.75" customHeight="1">
      <c r="A505" s="127"/>
    </row>
    <row r="506" ht="15.75" customHeight="1">
      <c r="A506" s="127"/>
    </row>
    <row r="507" ht="15.75" customHeight="1">
      <c r="A507" s="127"/>
    </row>
    <row r="508" ht="15.75" customHeight="1">
      <c r="A508" s="127"/>
    </row>
    <row r="509" ht="15.75" customHeight="1">
      <c r="A509" s="127"/>
    </row>
    <row r="510" ht="15.75" customHeight="1">
      <c r="A510" s="127"/>
    </row>
    <row r="511" ht="15.75" customHeight="1">
      <c r="A511" s="127"/>
    </row>
    <row r="512" ht="15.75" customHeight="1">
      <c r="A512" s="127"/>
    </row>
    <row r="513" ht="15.75" customHeight="1">
      <c r="A513" s="127"/>
    </row>
    <row r="514" ht="15.75" customHeight="1">
      <c r="A514" s="127"/>
    </row>
    <row r="515" ht="15.75" customHeight="1">
      <c r="A515" s="127"/>
    </row>
    <row r="516" ht="15.75" customHeight="1">
      <c r="A516" s="127"/>
    </row>
    <row r="517" ht="15.75" customHeight="1">
      <c r="A517" s="127"/>
    </row>
    <row r="518" ht="15.75" customHeight="1">
      <c r="A518" s="127"/>
    </row>
    <row r="519" ht="15.75" customHeight="1">
      <c r="A519" s="127"/>
    </row>
    <row r="520" ht="15.75" customHeight="1">
      <c r="A520" s="127"/>
    </row>
    <row r="521" ht="15.75" customHeight="1">
      <c r="A521" s="127"/>
    </row>
    <row r="522" ht="15.75" customHeight="1">
      <c r="A522" s="127"/>
    </row>
    <row r="523" ht="15.75" customHeight="1">
      <c r="A523" s="127"/>
    </row>
    <row r="524" ht="15.75" customHeight="1">
      <c r="A524" s="127"/>
    </row>
    <row r="525" ht="15.75" customHeight="1">
      <c r="A525" s="127"/>
    </row>
    <row r="526" ht="15.75" customHeight="1">
      <c r="A526" s="127"/>
    </row>
    <row r="527" ht="15.75" customHeight="1">
      <c r="A527" s="127"/>
    </row>
    <row r="528" ht="15.75" customHeight="1">
      <c r="A528" s="127"/>
    </row>
    <row r="529" ht="15.75" customHeight="1">
      <c r="A529" s="127"/>
    </row>
    <row r="530" ht="15.75" customHeight="1">
      <c r="A530" s="127"/>
    </row>
    <row r="531" ht="15.75" customHeight="1">
      <c r="A531" s="127"/>
    </row>
    <row r="532" ht="15.75" customHeight="1">
      <c r="A532" s="127"/>
    </row>
    <row r="533" ht="15.75" customHeight="1">
      <c r="A533" s="127"/>
    </row>
    <row r="534" ht="15.75" customHeight="1">
      <c r="A534" s="127"/>
    </row>
    <row r="535" ht="15.75" customHeight="1">
      <c r="A535" s="127"/>
    </row>
    <row r="536" ht="15.75" customHeight="1">
      <c r="A536" s="127"/>
    </row>
    <row r="537" ht="15.75" customHeight="1">
      <c r="A537" s="127"/>
    </row>
    <row r="538" ht="15.75" customHeight="1">
      <c r="A538" s="127"/>
    </row>
    <row r="539" ht="15.75" customHeight="1">
      <c r="A539" s="127"/>
    </row>
    <row r="540" ht="15.75" customHeight="1">
      <c r="A540" s="127"/>
    </row>
    <row r="541" ht="15.75" customHeight="1">
      <c r="A541" s="127"/>
    </row>
    <row r="542" ht="15.75" customHeight="1">
      <c r="A542" s="127"/>
    </row>
    <row r="543" ht="15.75" customHeight="1">
      <c r="A543" s="127"/>
    </row>
    <row r="544" ht="15.75" customHeight="1">
      <c r="A544" s="127"/>
    </row>
    <row r="545" ht="15.75" customHeight="1">
      <c r="A545" s="127"/>
    </row>
    <row r="546" ht="15.75" customHeight="1">
      <c r="A546" s="127"/>
    </row>
    <row r="547" ht="15.75" customHeight="1">
      <c r="A547" s="127"/>
    </row>
    <row r="548" ht="15.75" customHeight="1">
      <c r="A548" s="127"/>
    </row>
    <row r="549" ht="15.75" customHeight="1">
      <c r="A549" s="127"/>
    </row>
    <row r="550" ht="15.75" customHeight="1">
      <c r="A550" s="127"/>
    </row>
    <row r="551" ht="15.75" customHeight="1">
      <c r="A551" s="127"/>
    </row>
    <row r="552" ht="15.75" customHeight="1">
      <c r="A552" s="127"/>
    </row>
    <row r="553" ht="15.75" customHeight="1">
      <c r="A553" s="127"/>
    </row>
    <row r="554" ht="15.75" customHeight="1">
      <c r="A554" s="127"/>
    </row>
    <row r="555" ht="15.75" customHeight="1">
      <c r="A555" s="127"/>
    </row>
    <row r="556" ht="15.75" customHeight="1">
      <c r="A556" s="127"/>
    </row>
    <row r="557" ht="15.75" customHeight="1">
      <c r="A557" s="127"/>
    </row>
    <row r="558" ht="15.75" customHeight="1">
      <c r="A558" s="127"/>
    </row>
    <row r="559" ht="15.75" customHeight="1">
      <c r="A559" s="127"/>
    </row>
    <row r="560" ht="15.75" customHeight="1">
      <c r="A560" s="127"/>
    </row>
    <row r="561" ht="15.75" customHeight="1">
      <c r="A561" s="127"/>
    </row>
    <row r="562" ht="15.75" customHeight="1">
      <c r="A562" s="127"/>
    </row>
    <row r="563" ht="15.75" customHeight="1">
      <c r="A563" s="127"/>
    </row>
    <row r="564" ht="15.75" customHeight="1">
      <c r="A564" s="127"/>
    </row>
    <row r="565" ht="15.75" customHeight="1">
      <c r="A565" s="127"/>
    </row>
    <row r="566" ht="15.75" customHeight="1">
      <c r="A566" s="127"/>
    </row>
    <row r="567" ht="15.75" customHeight="1">
      <c r="A567" s="127"/>
    </row>
    <row r="568" ht="15.75" customHeight="1">
      <c r="A568" s="127"/>
    </row>
    <row r="569" ht="15.75" customHeight="1">
      <c r="A569" s="127"/>
    </row>
    <row r="570" ht="15.75" customHeight="1">
      <c r="A570" s="127"/>
    </row>
    <row r="571" ht="15.75" customHeight="1">
      <c r="A571" s="127"/>
    </row>
    <row r="572" ht="15.75" customHeight="1">
      <c r="A572" s="127"/>
    </row>
    <row r="573" ht="15.75" customHeight="1">
      <c r="A573" s="127"/>
    </row>
    <row r="574" ht="15.75" customHeight="1">
      <c r="A574" s="127"/>
    </row>
    <row r="575" ht="15.75" customHeight="1">
      <c r="A575" s="127"/>
    </row>
    <row r="576" ht="15.75" customHeight="1">
      <c r="A576" s="127"/>
    </row>
    <row r="577" ht="15.75" customHeight="1">
      <c r="A577" s="127"/>
    </row>
    <row r="578" ht="15.75" customHeight="1">
      <c r="A578" s="127"/>
    </row>
    <row r="579" ht="15.75" customHeight="1">
      <c r="A579" s="127"/>
    </row>
    <row r="580" ht="15.75" customHeight="1">
      <c r="A580" s="127"/>
    </row>
    <row r="581" ht="15.75" customHeight="1">
      <c r="A581" s="127"/>
    </row>
    <row r="582" ht="15.75" customHeight="1">
      <c r="A582" s="127"/>
    </row>
    <row r="583" ht="15.75" customHeight="1">
      <c r="A583" s="127"/>
    </row>
    <row r="584" ht="15.75" customHeight="1">
      <c r="A584" s="127"/>
    </row>
    <row r="585" ht="15.75" customHeight="1">
      <c r="A585" s="127"/>
    </row>
    <row r="586" ht="15.75" customHeight="1">
      <c r="A586" s="127"/>
    </row>
    <row r="587" ht="15.75" customHeight="1">
      <c r="A587" s="127"/>
    </row>
    <row r="588" ht="15.75" customHeight="1">
      <c r="A588" s="127"/>
    </row>
    <row r="589" ht="15.75" customHeight="1">
      <c r="A589" s="127"/>
    </row>
    <row r="590" ht="15.75" customHeight="1">
      <c r="A590" s="127"/>
    </row>
    <row r="591" ht="15.75" customHeight="1">
      <c r="A591" s="127"/>
    </row>
    <row r="592" ht="15.75" customHeight="1">
      <c r="A592" s="127"/>
    </row>
    <row r="593" ht="15.75" customHeight="1">
      <c r="A593" s="127"/>
    </row>
    <row r="594" ht="15.75" customHeight="1">
      <c r="A594" s="127"/>
    </row>
    <row r="595" ht="15.75" customHeight="1">
      <c r="A595" s="127"/>
    </row>
    <row r="596" ht="15.75" customHeight="1">
      <c r="A596" s="127"/>
    </row>
    <row r="597" ht="15.75" customHeight="1">
      <c r="A597" s="127"/>
    </row>
    <row r="598" ht="15.75" customHeight="1">
      <c r="A598" s="127"/>
    </row>
    <row r="599" ht="15.75" customHeight="1">
      <c r="A599" s="127"/>
    </row>
    <row r="600" ht="15.75" customHeight="1">
      <c r="A600" s="127"/>
    </row>
    <row r="601" ht="15.75" customHeight="1">
      <c r="A601" s="127"/>
    </row>
    <row r="602" ht="15.75" customHeight="1">
      <c r="A602" s="127"/>
    </row>
    <row r="603" ht="15.75" customHeight="1">
      <c r="A603" s="127"/>
    </row>
    <row r="604" ht="15.75" customHeight="1">
      <c r="A604" s="127"/>
    </row>
    <row r="605" ht="15.75" customHeight="1">
      <c r="A605" s="127"/>
    </row>
    <row r="606" ht="15.75" customHeight="1">
      <c r="A606" s="127"/>
    </row>
    <row r="607" ht="15.75" customHeight="1">
      <c r="A607" s="127"/>
    </row>
    <row r="608" ht="15.75" customHeight="1">
      <c r="A608" s="127"/>
    </row>
    <row r="609" ht="15.75" customHeight="1">
      <c r="A609" s="127"/>
    </row>
    <row r="610" ht="15.75" customHeight="1">
      <c r="A610" s="127"/>
    </row>
    <row r="611" ht="15.75" customHeight="1">
      <c r="A611" s="127"/>
    </row>
    <row r="612" ht="15.75" customHeight="1">
      <c r="A612" s="127"/>
    </row>
    <row r="613" ht="15.75" customHeight="1">
      <c r="A613" s="127"/>
    </row>
    <row r="614" ht="15.75" customHeight="1">
      <c r="A614" s="127"/>
    </row>
    <row r="615" ht="15.75" customHeight="1">
      <c r="A615" s="127"/>
    </row>
    <row r="616" ht="15.75" customHeight="1">
      <c r="A616" s="127"/>
    </row>
    <row r="617" ht="15.75" customHeight="1">
      <c r="A617" s="127"/>
    </row>
    <row r="618" ht="15.75" customHeight="1">
      <c r="A618" s="127"/>
    </row>
    <row r="619" ht="15.75" customHeight="1">
      <c r="A619" s="127"/>
    </row>
    <row r="620" ht="15.75" customHeight="1">
      <c r="A620" s="127"/>
    </row>
    <row r="621" ht="15.75" customHeight="1">
      <c r="A621" s="127"/>
    </row>
    <row r="622" ht="15.75" customHeight="1">
      <c r="A622" s="127"/>
    </row>
    <row r="623" ht="15.75" customHeight="1">
      <c r="A623" s="127"/>
    </row>
    <row r="624" ht="15.75" customHeight="1">
      <c r="A624" s="127"/>
    </row>
    <row r="625" ht="15.75" customHeight="1">
      <c r="A625" s="127"/>
    </row>
    <row r="626" ht="15.75" customHeight="1">
      <c r="A626" s="127"/>
    </row>
    <row r="627" ht="15.75" customHeight="1">
      <c r="A627" s="127"/>
    </row>
    <row r="628" ht="15.75" customHeight="1">
      <c r="A628" s="127"/>
    </row>
    <row r="629" ht="15.75" customHeight="1">
      <c r="A629" s="127"/>
    </row>
    <row r="630" ht="15.75" customHeight="1">
      <c r="A630" s="127"/>
    </row>
    <row r="631" ht="15.75" customHeight="1">
      <c r="A631" s="127"/>
    </row>
    <row r="632" ht="15.75" customHeight="1">
      <c r="A632" s="127"/>
    </row>
    <row r="633" ht="15.75" customHeight="1">
      <c r="A633" s="127"/>
    </row>
    <row r="634" ht="15.75" customHeight="1">
      <c r="A634" s="127"/>
    </row>
    <row r="635" ht="15.75" customHeight="1">
      <c r="A635" s="127"/>
    </row>
    <row r="636" ht="15.75" customHeight="1">
      <c r="A636" s="127"/>
    </row>
    <row r="637" ht="15.75" customHeight="1">
      <c r="A637" s="127"/>
    </row>
    <row r="638" ht="15.75" customHeight="1">
      <c r="A638" s="127"/>
    </row>
    <row r="639" ht="15.75" customHeight="1">
      <c r="A639" s="127"/>
    </row>
    <row r="640" ht="15.75" customHeight="1">
      <c r="A640" s="127"/>
    </row>
    <row r="641" ht="15.75" customHeight="1">
      <c r="A641" s="127"/>
    </row>
    <row r="642" ht="15.75" customHeight="1">
      <c r="A642" s="127"/>
    </row>
    <row r="643" ht="15.75" customHeight="1">
      <c r="A643" s="127"/>
    </row>
    <row r="644" ht="15.75" customHeight="1">
      <c r="A644" s="127"/>
    </row>
    <row r="645" ht="15.75" customHeight="1">
      <c r="A645" s="127"/>
    </row>
    <row r="646" ht="15.75" customHeight="1">
      <c r="A646" s="127"/>
    </row>
    <row r="647" ht="15.75" customHeight="1">
      <c r="A647" s="127"/>
    </row>
    <row r="648" ht="15.75" customHeight="1">
      <c r="A648" s="127"/>
    </row>
    <row r="649" ht="15.75" customHeight="1">
      <c r="A649" s="127"/>
    </row>
    <row r="650" ht="15.75" customHeight="1">
      <c r="A650" s="127"/>
    </row>
    <row r="651" ht="15.75" customHeight="1">
      <c r="A651" s="127"/>
    </row>
    <row r="652" ht="15.75" customHeight="1">
      <c r="A652" s="127"/>
    </row>
    <row r="653" ht="15.75" customHeight="1">
      <c r="A653" s="127"/>
    </row>
    <row r="654" ht="15.75" customHeight="1">
      <c r="A654" s="127"/>
    </row>
    <row r="655" ht="15.75" customHeight="1">
      <c r="A655" s="127"/>
    </row>
    <row r="656" ht="15.75" customHeight="1">
      <c r="A656" s="127"/>
    </row>
    <row r="657" ht="15.75" customHeight="1">
      <c r="A657" s="127"/>
    </row>
    <row r="658" ht="15.75" customHeight="1">
      <c r="A658" s="127"/>
    </row>
    <row r="659" ht="15.75" customHeight="1">
      <c r="A659" s="127"/>
    </row>
    <row r="660" ht="15.75" customHeight="1">
      <c r="A660" s="127"/>
    </row>
    <row r="661" ht="15.75" customHeight="1">
      <c r="A661" s="127"/>
    </row>
    <row r="662" ht="15.75" customHeight="1">
      <c r="A662" s="127"/>
    </row>
    <row r="663" ht="15.75" customHeight="1">
      <c r="A663" s="127"/>
    </row>
    <row r="664" ht="15.75" customHeight="1">
      <c r="A664" s="127"/>
    </row>
    <row r="665" ht="15.75" customHeight="1">
      <c r="A665" s="127"/>
    </row>
    <row r="666" ht="15.75" customHeight="1">
      <c r="A666" s="127"/>
    </row>
    <row r="667" ht="15.75" customHeight="1">
      <c r="A667" s="127"/>
    </row>
    <row r="668" ht="15.75" customHeight="1">
      <c r="A668" s="127"/>
    </row>
    <row r="669" ht="15.75" customHeight="1">
      <c r="A669" s="127"/>
    </row>
    <row r="670" ht="15.75" customHeight="1">
      <c r="A670" s="127"/>
    </row>
    <row r="671" ht="15.75" customHeight="1">
      <c r="A671" s="127"/>
    </row>
    <row r="672" ht="15.75" customHeight="1">
      <c r="A672" s="127"/>
    </row>
    <row r="673" ht="15.75" customHeight="1">
      <c r="A673" s="127"/>
    </row>
    <row r="674" ht="15.75" customHeight="1">
      <c r="A674" s="127"/>
    </row>
    <row r="675" ht="15.75" customHeight="1">
      <c r="A675" s="127"/>
    </row>
    <row r="676" ht="15.75" customHeight="1">
      <c r="A676" s="127"/>
    </row>
    <row r="677" ht="15.75" customHeight="1">
      <c r="A677" s="127"/>
    </row>
    <row r="678" ht="15.75" customHeight="1">
      <c r="A678" s="127"/>
    </row>
    <row r="679" ht="15.75" customHeight="1">
      <c r="A679" s="127"/>
    </row>
    <row r="680" ht="15.75" customHeight="1">
      <c r="A680" s="127"/>
    </row>
    <row r="681" ht="15.75" customHeight="1">
      <c r="A681" s="127"/>
    </row>
    <row r="682" ht="15.75" customHeight="1">
      <c r="A682" s="127"/>
    </row>
    <row r="683" ht="15.75" customHeight="1">
      <c r="A683" s="127"/>
    </row>
    <row r="684" ht="15.75" customHeight="1">
      <c r="A684" s="127"/>
    </row>
    <row r="685" ht="15.75" customHeight="1">
      <c r="A685" s="127"/>
    </row>
    <row r="686" ht="15.75" customHeight="1">
      <c r="A686" s="127"/>
    </row>
    <row r="687" ht="15.75" customHeight="1">
      <c r="A687" s="127"/>
    </row>
    <row r="688" ht="15.75" customHeight="1">
      <c r="A688" s="127"/>
    </row>
    <row r="689" ht="15.75" customHeight="1">
      <c r="A689" s="127"/>
    </row>
    <row r="690" ht="15.75" customHeight="1">
      <c r="A690" s="127"/>
    </row>
    <row r="691" ht="15.75" customHeight="1">
      <c r="A691" s="127"/>
    </row>
    <row r="692" ht="15.75" customHeight="1">
      <c r="A692" s="127"/>
    </row>
    <row r="693" ht="15.75" customHeight="1">
      <c r="A693" s="127"/>
    </row>
    <row r="694" ht="15.75" customHeight="1">
      <c r="A694" s="127"/>
    </row>
    <row r="695" ht="15.75" customHeight="1">
      <c r="A695" s="127"/>
    </row>
    <row r="696" ht="15.75" customHeight="1">
      <c r="A696" s="127"/>
    </row>
    <row r="697" ht="15.75" customHeight="1">
      <c r="A697" s="127"/>
    </row>
    <row r="698" ht="15.75" customHeight="1">
      <c r="A698" s="127"/>
    </row>
    <row r="699" ht="15.75" customHeight="1">
      <c r="A699" s="127"/>
    </row>
    <row r="700" ht="15.75" customHeight="1">
      <c r="A700" s="127"/>
    </row>
    <row r="701" ht="15.75" customHeight="1">
      <c r="A701" s="127"/>
    </row>
    <row r="702" ht="15.75" customHeight="1">
      <c r="A702" s="127"/>
    </row>
    <row r="703" ht="15.75" customHeight="1">
      <c r="A703" s="127"/>
    </row>
    <row r="704" ht="15.75" customHeight="1">
      <c r="A704" s="127"/>
    </row>
    <row r="705" ht="15.75" customHeight="1">
      <c r="A705" s="127"/>
    </row>
    <row r="706" ht="15.75" customHeight="1">
      <c r="A706" s="127"/>
    </row>
    <row r="707" ht="15.75" customHeight="1">
      <c r="A707" s="127"/>
    </row>
    <row r="708" ht="15.75" customHeight="1">
      <c r="A708" s="127"/>
    </row>
    <row r="709" ht="15.75" customHeight="1">
      <c r="A709" s="127"/>
    </row>
    <row r="710" ht="15.75" customHeight="1">
      <c r="A710" s="127"/>
    </row>
    <row r="711" ht="15.75" customHeight="1">
      <c r="A711" s="127"/>
    </row>
    <row r="712" ht="15.75" customHeight="1">
      <c r="A712" s="127"/>
    </row>
    <row r="713" ht="15.75" customHeight="1">
      <c r="A713" s="127"/>
    </row>
    <row r="714" ht="15.75" customHeight="1">
      <c r="A714" s="127"/>
    </row>
    <row r="715" ht="15.75" customHeight="1">
      <c r="A715" s="127"/>
    </row>
    <row r="716" ht="15.75" customHeight="1">
      <c r="A716" s="127"/>
    </row>
    <row r="717" ht="15.75" customHeight="1">
      <c r="A717" s="127"/>
    </row>
    <row r="718" ht="15.75" customHeight="1">
      <c r="A718" s="127"/>
    </row>
    <row r="719" ht="15.75" customHeight="1">
      <c r="A719" s="127"/>
    </row>
    <row r="720" ht="15.75" customHeight="1">
      <c r="A720" s="127"/>
    </row>
    <row r="721" ht="15.75" customHeight="1">
      <c r="A721" s="127"/>
    </row>
    <row r="722" ht="15.75" customHeight="1">
      <c r="A722" s="127"/>
    </row>
    <row r="723" ht="15.75" customHeight="1">
      <c r="A723" s="127"/>
    </row>
    <row r="724" ht="15.75" customHeight="1">
      <c r="A724" s="127"/>
    </row>
    <row r="725" ht="15.75" customHeight="1">
      <c r="A725" s="127"/>
    </row>
    <row r="726" ht="15.75" customHeight="1">
      <c r="A726" s="127"/>
    </row>
    <row r="727" ht="15.75" customHeight="1">
      <c r="A727" s="127"/>
    </row>
    <row r="728" ht="15.75" customHeight="1">
      <c r="A728" s="127"/>
    </row>
    <row r="729" ht="15.75" customHeight="1">
      <c r="A729" s="127"/>
    </row>
    <row r="730" ht="15.75" customHeight="1">
      <c r="A730" s="127"/>
    </row>
    <row r="731" ht="15.75" customHeight="1">
      <c r="A731" s="127"/>
    </row>
    <row r="732" ht="15.75" customHeight="1">
      <c r="A732" s="127"/>
    </row>
    <row r="733" ht="15.75" customHeight="1">
      <c r="A733" s="127"/>
    </row>
    <row r="734" ht="15.75" customHeight="1">
      <c r="A734" s="127"/>
    </row>
    <row r="735" ht="15.75" customHeight="1">
      <c r="A735" s="127"/>
    </row>
    <row r="736" ht="15.75" customHeight="1">
      <c r="A736" s="127"/>
    </row>
    <row r="737" ht="15.75" customHeight="1">
      <c r="A737" s="127"/>
    </row>
    <row r="738" ht="15.75" customHeight="1">
      <c r="A738" s="127"/>
    </row>
    <row r="739" ht="15.75" customHeight="1">
      <c r="A739" s="127"/>
    </row>
    <row r="740" ht="15.75" customHeight="1">
      <c r="A740" s="127"/>
    </row>
    <row r="741" ht="15.75" customHeight="1">
      <c r="A741" s="127"/>
    </row>
    <row r="742" ht="15.75" customHeight="1">
      <c r="A742" s="127"/>
    </row>
    <row r="743" ht="15.75" customHeight="1">
      <c r="A743" s="127"/>
    </row>
    <row r="744" ht="15.75" customHeight="1">
      <c r="A744" s="127"/>
    </row>
    <row r="745" ht="15.75" customHeight="1">
      <c r="A745" s="127"/>
    </row>
    <row r="746" ht="15.75" customHeight="1">
      <c r="A746" s="127"/>
    </row>
    <row r="747" ht="15.75" customHeight="1">
      <c r="A747" s="127"/>
    </row>
    <row r="748" ht="15.75" customHeight="1">
      <c r="A748" s="127"/>
    </row>
    <row r="749" ht="15.75" customHeight="1">
      <c r="A749" s="127"/>
    </row>
    <row r="750" ht="15.75" customHeight="1">
      <c r="A750" s="127"/>
    </row>
    <row r="751" ht="15.75" customHeight="1">
      <c r="A751" s="127"/>
    </row>
    <row r="752" ht="15.75" customHeight="1">
      <c r="A752" s="127"/>
    </row>
    <row r="753" ht="15.75" customHeight="1">
      <c r="A753" s="127"/>
    </row>
    <row r="754" ht="15.75" customHeight="1">
      <c r="A754" s="127"/>
    </row>
    <row r="755" ht="15.75" customHeight="1">
      <c r="A755" s="127"/>
    </row>
    <row r="756" ht="15.75" customHeight="1">
      <c r="A756" s="127"/>
    </row>
    <row r="757" ht="15.75" customHeight="1">
      <c r="A757" s="127"/>
    </row>
    <row r="758" ht="15.75" customHeight="1">
      <c r="A758" s="127"/>
    </row>
    <row r="759" ht="15.75" customHeight="1">
      <c r="A759" s="127"/>
    </row>
    <row r="760" ht="15.75" customHeight="1">
      <c r="A760" s="127"/>
    </row>
    <row r="761" ht="15.75" customHeight="1">
      <c r="A761" s="127"/>
    </row>
    <row r="762" ht="15.75" customHeight="1">
      <c r="A762" s="127"/>
    </row>
    <row r="763" ht="15.75" customHeight="1">
      <c r="A763" s="127"/>
    </row>
    <row r="764" ht="15.75" customHeight="1">
      <c r="A764" s="127"/>
    </row>
    <row r="765" ht="15.75" customHeight="1">
      <c r="A765" s="127"/>
    </row>
    <row r="766" ht="15.75" customHeight="1">
      <c r="A766" s="127"/>
    </row>
    <row r="767" ht="15.75" customHeight="1">
      <c r="A767" s="127"/>
    </row>
    <row r="768" ht="15.75" customHeight="1">
      <c r="A768" s="127"/>
    </row>
    <row r="769" ht="15.75" customHeight="1">
      <c r="A769" s="127"/>
    </row>
    <row r="770" ht="15.75" customHeight="1">
      <c r="A770" s="127"/>
    </row>
    <row r="771" ht="15.75" customHeight="1">
      <c r="A771" s="127"/>
    </row>
    <row r="772" ht="15.75" customHeight="1">
      <c r="A772" s="127"/>
    </row>
    <row r="773" ht="15.75" customHeight="1">
      <c r="A773" s="127"/>
    </row>
    <row r="774" ht="15.75" customHeight="1">
      <c r="A774" s="127"/>
    </row>
    <row r="775" ht="15.75" customHeight="1">
      <c r="A775" s="127"/>
    </row>
    <row r="776" ht="15.75" customHeight="1">
      <c r="A776" s="127"/>
    </row>
    <row r="777" ht="15.75" customHeight="1">
      <c r="A777" s="127"/>
    </row>
    <row r="778" ht="15.75" customHeight="1">
      <c r="A778" s="127"/>
    </row>
    <row r="779" ht="15.75" customHeight="1">
      <c r="A779" s="127"/>
    </row>
    <row r="780" ht="15.75" customHeight="1">
      <c r="A780" s="127"/>
    </row>
    <row r="781" ht="15.75" customHeight="1">
      <c r="A781" s="127"/>
    </row>
    <row r="782" ht="15.75" customHeight="1">
      <c r="A782" s="127"/>
    </row>
    <row r="783" ht="15.75" customHeight="1">
      <c r="A783" s="127"/>
    </row>
    <row r="784" ht="15.75" customHeight="1">
      <c r="A784" s="127"/>
    </row>
    <row r="785" ht="15.75" customHeight="1">
      <c r="A785" s="127"/>
    </row>
    <row r="786" ht="15.75" customHeight="1">
      <c r="A786" s="127"/>
    </row>
    <row r="787" ht="15.75" customHeight="1">
      <c r="A787" s="127"/>
    </row>
    <row r="788" ht="15.75" customHeight="1">
      <c r="A788" s="127"/>
    </row>
    <row r="789" ht="15.75" customHeight="1">
      <c r="A789" s="127"/>
    </row>
    <row r="790" ht="15.75" customHeight="1">
      <c r="A790" s="127"/>
    </row>
    <row r="791" ht="15.75" customHeight="1">
      <c r="A791" s="127"/>
    </row>
    <row r="792" ht="15.75" customHeight="1">
      <c r="A792" s="127"/>
    </row>
    <row r="793" ht="15.75" customHeight="1">
      <c r="A793" s="127"/>
    </row>
    <row r="794" ht="15.75" customHeight="1">
      <c r="A794" s="127"/>
    </row>
    <row r="795" ht="15.75" customHeight="1">
      <c r="A795" s="127"/>
    </row>
    <row r="796" ht="15.75" customHeight="1">
      <c r="A796" s="127"/>
    </row>
    <row r="797" ht="15.75" customHeight="1">
      <c r="A797" s="127"/>
    </row>
    <row r="798" ht="15.75" customHeight="1">
      <c r="A798" s="127"/>
    </row>
    <row r="799" ht="15.75" customHeight="1">
      <c r="A799" s="127"/>
    </row>
    <row r="800" ht="15.75" customHeight="1">
      <c r="A800" s="127"/>
    </row>
    <row r="801" ht="15.75" customHeight="1">
      <c r="A801" s="127"/>
    </row>
    <row r="802" ht="15.75" customHeight="1">
      <c r="A802" s="127"/>
    </row>
    <row r="803" ht="15.75" customHeight="1">
      <c r="A803" s="127"/>
    </row>
    <row r="804" ht="15.75" customHeight="1">
      <c r="A804" s="127"/>
    </row>
    <row r="805" ht="15.75" customHeight="1">
      <c r="A805" s="127"/>
    </row>
    <row r="806" ht="15.75" customHeight="1">
      <c r="A806" s="127"/>
    </row>
    <row r="807" ht="15.75" customHeight="1">
      <c r="A807" s="127"/>
    </row>
    <row r="808" ht="15.75" customHeight="1">
      <c r="A808" s="127"/>
    </row>
    <row r="809" ht="15.75" customHeight="1">
      <c r="A809" s="127"/>
    </row>
    <row r="810" ht="15.75" customHeight="1">
      <c r="A810" s="127"/>
    </row>
    <row r="811" ht="15.75" customHeight="1">
      <c r="A811" s="127"/>
    </row>
    <row r="812" ht="15.75" customHeight="1">
      <c r="A812" s="127"/>
    </row>
    <row r="813" ht="15.75" customHeight="1">
      <c r="A813" s="127"/>
    </row>
    <row r="814" ht="15.75" customHeight="1">
      <c r="A814" s="127"/>
    </row>
    <row r="815" ht="15.75" customHeight="1">
      <c r="A815" s="127"/>
    </row>
    <row r="816" ht="15.75" customHeight="1">
      <c r="A816" s="127"/>
    </row>
    <row r="817" ht="15.75" customHeight="1">
      <c r="A817" s="127"/>
    </row>
    <row r="818" ht="15.75" customHeight="1">
      <c r="A818" s="127"/>
    </row>
    <row r="819" ht="15.75" customHeight="1">
      <c r="A819" s="127"/>
    </row>
    <row r="820" ht="15.75" customHeight="1">
      <c r="A820" s="127"/>
    </row>
    <row r="821" ht="15.75" customHeight="1">
      <c r="A821" s="127"/>
    </row>
    <row r="822" ht="15.75" customHeight="1">
      <c r="A822" s="127"/>
    </row>
    <row r="823" ht="15.75" customHeight="1">
      <c r="A823" s="127"/>
    </row>
    <row r="824" ht="15.75" customHeight="1">
      <c r="A824" s="127"/>
    </row>
    <row r="825" ht="15.75" customHeight="1">
      <c r="A825" s="127"/>
    </row>
    <row r="826" ht="15.75" customHeight="1">
      <c r="A826" s="127"/>
    </row>
    <row r="827" ht="15.75" customHeight="1">
      <c r="A827" s="127"/>
    </row>
    <row r="828" ht="15.75" customHeight="1">
      <c r="A828" s="127"/>
    </row>
    <row r="829" ht="15.75" customHeight="1">
      <c r="A829" s="127"/>
    </row>
    <row r="830" ht="15.75" customHeight="1">
      <c r="A830" s="127"/>
    </row>
    <row r="831" ht="15.75" customHeight="1">
      <c r="A831" s="127"/>
    </row>
    <row r="832" ht="15.75" customHeight="1">
      <c r="A832" s="127"/>
    </row>
    <row r="833" ht="15.75" customHeight="1">
      <c r="A833" s="127"/>
    </row>
    <row r="834" ht="15.75" customHeight="1">
      <c r="A834" s="127"/>
    </row>
    <row r="835" ht="15.75" customHeight="1">
      <c r="A835" s="127"/>
    </row>
    <row r="836" ht="15.75" customHeight="1">
      <c r="A836" s="127"/>
    </row>
    <row r="837" ht="15.75" customHeight="1">
      <c r="A837" s="127"/>
    </row>
    <row r="838" ht="15.75" customHeight="1">
      <c r="A838" s="127"/>
    </row>
    <row r="839" ht="15.75" customHeight="1">
      <c r="A839" s="127"/>
    </row>
    <row r="840" ht="15.75" customHeight="1">
      <c r="A840" s="127"/>
    </row>
    <row r="841" ht="15.75" customHeight="1">
      <c r="A841" s="127"/>
    </row>
    <row r="842" ht="15.75" customHeight="1">
      <c r="A842" s="127"/>
    </row>
    <row r="843" ht="15.75" customHeight="1">
      <c r="A843" s="127"/>
    </row>
    <row r="844" ht="15.75" customHeight="1">
      <c r="A844" s="127"/>
    </row>
    <row r="845" ht="15.75" customHeight="1">
      <c r="A845" s="127"/>
    </row>
    <row r="846" ht="15.75" customHeight="1">
      <c r="A846" s="127"/>
    </row>
    <row r="847" ht="15.75" customHeight="1">
      <c r="A847" s="127"/>
    </row>
    <row r="848" ht="15.75" customHeight="1">
      <c r="A848" s="127"/>
    </row>
    <row r="849" ht="15.75" customHeight="1">
      <c r="A849" s="127"/>
    </row>
    <row r="850" ht="15.75" customHeight="1">
      <c r="A850" s="127"/>
    </row>
    <row r="851" ht="15.75" customHeight="1">
      <c r="A851" s="127"/>
    </row>
    <row r="852" ht="15.75" customHeight="1">
      <c r="A852" s="127"/>
    </row>
    <row r="853" ht="15.75" customHeight="1">
      <c r="A853" s="127"/>
    </row>
    <row r="854" ht="15.75" customHeight="1">
      <c r="A854" s="127"/>
    </row>
    <row r="855" ht="15.75" customHeight="1">
      <c r="A855" s="127"/>
    </row>
    <row r="856" ht="15.75" customHeight="1">
      <c r="A856" s="127"/>
    </row>
    <row r="857" ht="15.75" customHeight="1">
      <c r="A857" s="127"/>
    </row>
    <row r="858" ht="15.75" customHeight="1">
      <c r="A858" s="127"/>
    </row>
    <row r="859" ht="15.75" customHeight="1">
      <c r="A859" s="127"/>
    </row>
    <row r="860" ht="15.75" customHeight="1">
      <c r="A860" s="127"/>
    </row>
    <row r="861" ht="15.75" customHeight="1">
      <c r="A861" s="127"/>
    </row>
    <row r="862" ht="15.75" customHeight="1">
      <c r="A862" s="127"/>
    </row>
    <row r="863" ht="15.75" customHeight="1">
      <c r="A863" s="127"/>
    </row>
    <row r="864" ht="15.75" customHeight="1">
      <c r="A864" s="127"/>
    </row>
    <row r="865" ht="15.75" customHeight="1">
      <c r="A865" s="127"/>
    </row>
    <row r="866" ht="15.75" customHeight="1">
      <c r="A866" s="127"/>
    </row>
    <row r="867" ht="15.75" customHeight="1">
      <c r="A867" s="127"/>
    </row>
    <row r="868" ht="15.75" customHeight="1">
      <c r="A868" s="127"/>
    </row>
    <row r="869" ht="15.75" customHeight="1">
      <c r="A869" s="127"/>
    </row>
    <row r="870" ht="15.75" customHeight="1">
      <c r="A870" s="127"/>
    </row>
    <row r="871" ht="15.75" customHeight="1">
      <c r="A871" s="127"/>
    </row>
    <row r="872" ht="15.75" customHeight="1">
      <c r="A872" s="127"/>
    </row>
    <row r="873" ht="15.75" customHeight="1">
      <c r="A873" s="127"/>
    </row>
    <row r="874" ht="15.75" customHeight="1">
      <c r="A874" s="127"/>
    </row>
    <row r="875" ht="15.75" customHeight="1">
      <c r="A875" s="127"/>
    </row>
    <row r="876" ht="15.75" customHeight="1">
      <c r="A876" s="127"/>
    </row>
    <row r="877" ht="15.75" customHeight="1">
      <c r="A877" s="127"/>
    </row>
    <row r="878" ht="15.75" customHeight="1">
      <c r="A878" s="127"/>
    </row>
    <row r="879" ht="15.75" customHeight="1">
      <c r="A879" s="127"/>
    </row>
    <row r="880" ht="15.75" customHeight="1">
      <c r="A880" s="127"/>
    </row>
    <row r="881" ht="15.75" customHeight="1">
      <c r="A881" s="127"/>
    </row>
    <row r="882" ht="15.75" customHeight="1">
      <c r="A882" s="127"/>
    </row>
    <row r="883" ht="15.75" customHeight="1">
      <c r="A883" s="127"/>
    </row>
    <row r="884" ht="15.75" customHeight="1">
      <c r="A884" s="127"/>
    </row>
    <row r="885" ht="15.75" customHeight="1">
      <c r="A885" s="127"/>
    </row>
    <row r="886" ht="15.75" customHeight="1">
      <c r="A886" s="127"/>
    </row>
    <row r="887" ht="15.75" customHeight="1">
      <c r="A887" s="127"/>
    </row>
    <row r="888" ht="15.75" customHeight="1">
      <c r="A888" s="127"/>
    </row>
    <row r="889" ht="15.75" customHeight="1">
      <c r="A889" s="127"/>
    </row>
    <row r="890" ht="15.75" customHeight="1">
      <c r="A890" s="127"/>
    </row>
    <row r="891" ht="15.75" customHeight="1">
      <c r="A891" s="127"/>
    </row>
    <row r="892" ht="15.75" customHeight="1">
      <c r="A892" s="127"/>
    </row>
    <row r="893" ht="15.75" customHeight="1">
      <c r="A893" s="127"/>
    </row>
    <row r="894" ht="15.75" customHeight="1">
      <c r="A894" s="127"/>
    </row>
    <row r="895" ht="15.75" customHeight="1">
      <c r="A895" s="127"/>
    </row>
    <row r="896" ht="15.75" customHeight="1">
      <c r="A896" s="127"/>
    </row>
    <row r="897" ht="15.75" customHeight="1">
      <c r="A897" s="127"/>
    </row>
    <row r="898" ht="15.75" customHeight="1">
      <c r="A898" s="127"/>
    </row>
    <row r="899" ht="15.75" customHeight="1">
      <c r="A899" s="127"/>
    </row>
    <row r="900" ht="15.75" customHeight="1">
      <c r="A900" s="127"/>
    </row>
    <row r="901" ht="15.75" customHeight="1">
      <c r="A901" s="127"/>
    </row>
    <row r="902" ht="15.75" customHeight="1">
      <c r="A902" s="127"/>
    </row>
    <row r="903" ht="15.75" customHeight="1">
      <c r="A903" s="127"/>
    </row>
    <row r="904" ht="15.75" customHeight="1">
      <c r="A904" s="127"/>
    </row>
    <row r="905" ht="15.75" customHeight="1">
      <c r="A905" s="127"/>
    </row>
    <row r="906" ht="15.75" customHeight="1">
      <c r="A906" s="127"/>
    </row>
    <row r="907" ht="15.75" customHeight="1">
      <c r="A907" s="127"/>
    </row>
    <row r="908" ht="15.75" customHeight="1">
      <c r="A908" s="127"/>
    </row>
    <row r="909" ht="15.75" customHeight="1">
      <c r="A909" s="127"/>
    </row>
    <row r="910" ht="15.75" customHeight="1">
      <c r="A910" s="127"/>
    </row>
    <row r="911" ht="15.75" customHeight="1">
      <c r="A911" s="127"/>
    </row>
    <row r="912" ht="15.75" customHeight="1">
      <c r="A912" s="127"/>
    </row>
    <row r="913" ht="15.75" customHeight="1">
      <c r="A913" s="127"/>
    </row>
    <row r="914" ht="15.75" customHeight="1">
      <c r="A914" s="127"/>
    </row>
    <row r="915" ht="15.75" customHeight="1">
      <c r="A915" s="127"/>
    </row>
    <row r="916" ht="15.75" customHeight="1">
      <c r="A916" s="127"/>
    </row>
    <row r="917" ht="15.75" customHeight="1">
      <c r="A917" s="127"/>
    </row>
    <row r="918" ht="15.75" customHeight="1">
      <c r="A918" s="127"/>
    </row>
    <row r="919" ht="15.75" customHeight="1">
      <c r="A919" s="127"/>
    </row>
    <row r="920" ht="15.75" customHeight="1">
      <c r="A920" s="127"/>
    </row>
    <row r="921" ht="15.75" customHeight="1">
      <c r="A921" s="127"/>
    </row>
    <row r="922" ht="15.75" customHeight="1">
      <c r="A922" s="127"/>
    </row>
    <row r="923" ht="15.75" customHeight="1">
      <c r="A923" s="127"/>
    </row>
    <row r="924" ht="15.75" customHeight="1">
      <c r="A924" s="127"/>
    </row>
    <row r="925" ht="15.75" customHeight="1">
      <c r="A925" s="127"/>
    </row>
    <row r="926" ht="15.75" customHeight="1">
      <c r="A926" s="127"/>
    </row>
    <row r="927" ht="15.75" customHeight="1">
      <c r="A927" s="127"/>
    </row>
    <row r="928" ht="15.75" customHeight="1">
      <c r="A928" s="127"/>
    </row>
    <row r="929" ht="15.75" customHeight="1">
      <c r="A929" s="127"/>
    </row>
    <row r="930" ht="15.75" customHeight="1">
      <c r="A930" s="127"/>
    </row>
    <row r="931" ht="15.75" customHeight="1">
      <c r="A931" s="127"/>
    </row>
    <row r="932" ht="15.75" customHeight="1">
      <c r="A932" s="127"/>
    </row>
    <row r="933" ht="15.75" customHeight="1">
      <c r="A933" s="127"/>
    </row>
    <row r="934" ht="15.75" customHeight="1">
      <c r="A934" s="127"/>
    </row>
    <row r="935" ht="15.75" customHeight="1">
      <c r="A935" s="127"/>
    </row>
    <row r="936" ht="15.75" customHeight="1">
      <c r="A936" s="127"/>
    </row>
    <row r="937" ht="15.75" customHeight="1">
      <c r="A937" s="127"/>
    </row>
    <row r="938" ht="15.75" customHeight="1">
      <c r="A938" s="127"/>
    </row>
    <row r="939" ht="15.75" customHeight="1">
      <c r="A939" s="127"/>
    </row>
    <row r="940" ht="15.75" customHeight="1">
      <c r="A940" s="127"/>
    </row>
    <row r="941" ht="15.75" customHeight="1">
      <c r="A941" s="127"/>
    </row>
    <row r="942" ht="15.75" customHeight="1">
      <c r="A942" s="127"/>
    </row>
    <row r="943" ht="15.75" customHeight="1">
      <c r="A943" s="127"/>
    </row>
    <row r="944" ht="15.75" customHeight="1">
      <c r="A944" s="127"/>
    </row>
    <row r="945" ht="15.75" customHeight="1">
      <c r="A945" s="127"/>
    </row>
    <row r="946" ht="15.75" customHeight="1">
      <c r="A946" s="127"/>
    </row>
    <row r="947" ht="15.75" customHeight="1">
      <c r="A947" s="127"/>
    </row>
    <row r="948" ht="15.75" customHeight="1">
      <c r="A948" s="127"/>
    </row>
    <row r="949" ht="15.75" customHeight="1">
      <c r="A949" s="127"/>
    </row>
    <row r="950" ht="15.75" customHeight="1">
      <c r="A950" s="127"/>
    </row>
    <row r="951" ht="15.75" customHeight="1">
      <c r="A951" s="127"/>
    </row>
    <row r="952" ht="15.75" customHeight="1">
      <c r="A952" s="127"/>
    </row>
    <row r="953" ht="15.75" customHeight="1">
      <c r="A953" s="127"/>
    </row>
    <row r="954" ht="15.75" customHeight="1">
      <c r="A954" s="127"/>
    </row>
    <row r="955" ht="15.75" customHeight="1">
      <c r="A955" s="127"/>
    </row>
    <row r="956" ht="15.75" customHeight="1">
      <c r="A956" s="127"/>
    </row>
    <row r="957" ht="15.75" customHeight="1">
      <c r="A957" s="127"/>
    </row>
    <row r="958" ht="15.75" customHeight="1">
      <c r="A958" s="127"/>
    </row>
    <row r="959" ht="15.75" customHeight="1">
      <c r="A959" s="127"/>
    </row>
    <row r="960" ht="15.75" customHeight="1">
      <c r="A960" s="127"/>
    </row>
    <row r="961" ht="15.75" customHeight="1">
      <c r="A961" s="127"/>
    </row>
    <row r="962" ht="15.75" customHeight="1">
      <c r="A962" s="127"/>
    </row>
    <row r="963" ht="15.75" customHeight="1">
      <c r="A963" s="127"/>
    </row>
    <row r="964" ht="15.75" customHeight="1">
      <c r="A964" s="127"/>
    </row>
    <row r="965" ht="15.75" customHeight="1">
      <c r="A965" s="127"/>
    </row>
    <row r="966" ht="15.75" customHeight="1">
      <c r="A966" s="127"/>
    </row>
    <row r="967" ht="15.75" customHeight="1">
      <c r="A967" s="127"/>
    </row>
    <row r="968" ht="15.75" customHeight="1">
      <c r="A968" s="127"/>
    </row>
    <row r="969" ht="15.75" customHeight="1">
      <c r="A969" s="127"/>
    </row>
    <row r="970" ht="15.75" customHeight="1">
      <c r="A970" s="127"/>
    </row>
    <row r="971" ht="15.75" customHeight="1">
      <c r="A971" s="127"/>
    </row>
    <row r="972" ht="15.75" customHeight="1">
      <c r="A972" s="127"/>
    </row>
    <row r="973" ht="15.75" customHeight="1">
      <c r="A973" s="127"/>
    </row>
    <row r="974" ht="15.75" customHeight="1">
      <c r="A974" s="127"/>
    </row>
    <row r="975" ht="15.75" customHeight="1">
      <c r="A975" s="127"/>
    </row>
    <row r="976" ht="15.75" customHeight="1">
      <c r="A976" s="127"/>
    </row>
    <row r="977" ht="15.75" customHeight="1">
      <c r="A977" s="127"/>
    </row>
    <row r="978" ht="15.75" customHeight="1">
      <c r="A978" s="127"/>
    </row>
    <row r="979" ht="15.75" customHeight="1">
      <c r="A979" s="127"/>
    </row>
    <row r="980" ht="15.75" customHeight="1">
      <c r="A980" s="127"/>
    </row>
    <row r="981" ht="15.75" customHeight="1">
      <c r="A981" s="127"/>
    </row>
    <row r="982" ht="15.75" customHeight="1">
      <c r="A982" s="127"/>
    </row>
    <row r="983" ht="15.75" customHeight="1">
      <c r="A983" s="127"/>
    </row>
    <row r="984" ht="15.75" customHeight="1">
      <c r="A984" s="127"/>
    </row>
    <row r="985" ht="15.75" customHeight="1">
      <c r="A985" s="127"/>
    </row>
    <row r="986" ht="15.75" customHeight="1">
      <c r="A986" s="127"/>
    </row>
    <row r="987" ht="15.75" customHeight="1">
      <c r="A987" s="127"/>
    </row>
    <row r="988" ht="15.75" customHeight="1">
      <c r="A988" s="127"/>
    </row>
    <row r="989" ht="15.75" customHeight="1">
      <c r="A989" s="127"/>
    </row>
    <row r="990" ht="15.75" customHeight="1">
      <c r="A990" s="127"/>
    </row>
    <row r="991" ht="15.75" customHeight="1">
      <c r="A991" s="127"/>
    </row>
    <row r="992" ht="15.75" customHeight="1">
      <c r="A992" s="127"/>
    </row>
    <row r="993" ht="15.75" customHeight="1">
      <c r="A993" s="127"/>
    </row>
    <row r="994" ht="15.75" customHeight="1">
      <c r="A994" s="127"/>
    </row>
    <row r="995" ht="15.75" customHeight="1">
      <c r="A995" s="127"/>
    </row>
    <row r="996" ht="15.75" customHeight="1">
      <c r="A996" s="127"/>
    </row>
    <row r="997" ht="15.75" customHeight="1">
      <c r="A997" s="127"/>
    </row>
    <row r="998" ht="15.75" customHeight="1">
      <c r="A998" s="127"/>
    </row>
    <row r="999" ht="15.75" customHeight="1">
      <c r="A999" s="127"/>
    </row>
    <row r="1000" ht="15.75" customHeight="1">
      <c r="A1000" s="12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25"/>
    <col customWidth="1" min="2" max="2" width="14.5"/>
    <col customWidth="1" min="3" max="3" width="14.38"/>
    <col customWidth="1" min="4" max="4" width="11.88"/>
    <col customWidth="1" min="5" max="5" width="13.88"/>
    <col customWidth="1" min="6" max="6" width="9.0"/>
    <col customWidth="1" min="7" max="7" width="15.13"/>
    <col customWidth="1" min="8" max="8" width="13.75"/>
    <col customWidth="1" min="9" max="9" width="17.0"/>
    <col customWidth="1" min="10" max="10" width="19.5"/>
    <col customWidth="1" min="11" max="22" width="8.63"/>
  </cols>
  <sheetData>
    <row r="1" ht="24.0" customHeight="1">
      <c r="A1" s="128" t="s">
        <v>192</v>
      </c>
      <c r="B1" s="113" t="s">
        <v>155</v>
      </c>
      <c r="C1" s="113" t="s">
        <v>193</v>
      </c>
      <c r="D1" s="113" t="s">
        <v>194</v>
      </c>
      <c r="E1" s="113" t="s">
        <v>195</v>
      </c>
      <c r="F1" s="113" t="s">
        <v>196</v>
      </c>
      <c r="G1" s="113" t="s">
        <v>197</v>
      </c>
      <c r="H1" s="113" t="s">
        <v>198</v>
      </c>
      <c r="I1" s="113" t="s">
        <v>161</v>
      </c>
      <c r="J1" s="129" t="s">
        <v>199</v>
      </c>
    </row>
    <row r="2" ht="21.0" customHeight="1">
      <c r="A2" s="115" t="s">
        <v>200</v>
      </c>
      <c r="B2" s="117">
        <v>7.84231905E8</v>
      </c>
      <c r="C2" s="117" t="s">
        <v>201</v>
      </c>
      <c r="D2" s="117" t="s">
        <v>28</v>
      </c>
      <c r="E2" s="130">
        <v>1500.0</v>
      </c>
      <c r="F2" s="130">
        <v>0.0</v>
      </c>
      <c r="G2" s="131" t="s">
        <v>32</v>
      </c>
      <c r="H2" s="131" t="s">
        <v>202</v>
      </c>
      <c r="I2" s="132">
        <v>45667.427083333336</v>
      </c>
      <c r="J2" s="133">
        <v>45667.42916666667</v>
      </c>
    </row>
    <row r="3" ht="21.0" customHeight="1">
      <c r="A3" s="115" t="s">
        <v>203</v>
      </c>
      <c r="B3" s="117">
        <v>7.84231905E8</v>
      </c>
      <c r="C3" s="117" t="s">
        <v>204</v>
      </c>
      <c r="D3" s="117" t="s">
        <v>28</v>
      </c>
      <c r="E3" s="130">
        <v>500.0</v>
      </c>
      <c r="F3" s="130">
        <v>1.5</v>
      </c>
      <c r="G3" s="131" t="s">
        <v>32</v>
      </c>
      <c r="H3" s="131" t="s">
        <v>202</v>
      </c>
      <c r="I3" s="132">
        <v>45708.604166666664</v>
      </c>
      <c r="J3" s="133">
        <v>45708.60763888889</v>
      </c>
    </row>
    <row r="4" ht="21.0" customHeight="1">
      <c r="A4" s="115" t="s">
        <v>205</v>
      </c>
      <c r="B4" s="117">
        <v>7.84231905E8</v>
      </c>
      <c r="C4" s="117" t="s">
        <v>201</v>
      </c>
      <c r="D4" s="117" t="s">
        <v>28</v>
      </c>
      <c r="E4" s="130">
        <v>2000.0</v>
      </c>
      <c r="F4" s="130">
        <v>0.0</v>
      </c>
      <c r="G4" s="131" t="s">
        <v>206</v>
      </c>
      <c r="H4" s="131" t="s">
        <v>202</v>
      </c>
      <c r="I4" s="132">
        <v>45731.375</v>
      </c>
      <c r="J4" s="133">
        <v>45731.680555555555</v>
      </c>
    </row>
    <row r="5" ht="21.0" customHeight="1">
      <c r="A5" s="115" t="s">
        <v>207</v>
      </c>
      <c r="B5" s="117">
        <v>7.84231905E8</v>
      </c>
      <c r="C5" s="117" t="s">
        <v>204</v>
      </c>
      <c r="D5" s="117" t="s">
        <v>28</v>
      </c>
      <c r="E5" s="130">
        <v>300.0</v>
      </c>
      <c r="F5" s="130">
        <v>1.5</v>
      </c>
      <c r="G5" s="131" t="s">
        <v>32</v>
      </c>
      <c r="H5" s="131" t="s">
        <v>208</v>
      </c>
      <c r="I5" s="132">
        <v>45757.458333333336</v>
      </c>
      <c r="J5" s="133">
        <v>45757.461805555555</v>
      </c>
    </row>
    <row r="6" ht="21.0" customHeight="1">
      <c r="A6" s="115" t="s">
        <v>209</v>
      </c>
      <c r="B6" s="117">
        <v>6.15902374E8</v>
      </c>
      <c r="C6" s="117" t="s">
        <v>201</v>
      </c>
      <c r="D6" s="117" t="s">
        <v>24</v>
      </c>
      <c r="E6" s="130">
        <v>50000.0</v>
      </c>
      <c r="F6" s="130">
        <v>15.0</v>
      </c>
      <c r="G6" s="131" t="s">
        <v>26</v>
      </c>
      <c r="H6" s="131" t="s">
        <v>202</v>
      </c>
      <c r="I6" s="132">
        <v>45669.354166666664</v>
      </c>
      <c r="J6" s="133">
        <v>45669.65625</v>
      </c>
    </row>
    <row r="7" ht="21.0" customHeight="1">
      <c r="A7" s="115" t="s">
        <v>210</v>
      </c>
      <c r="B7" s="117">
        <v>6.15902374E8</v>
      </c>
      <c r="C7" s="117" t="s">
        <v>204</v>
      </c>
      <c r="D7" s="117" t="s">
        <v>24</v>
      </c>
      <c r="E7" s="130">
        <v>12000.0</v>
      </c>
      <c r="F7" s="130">
        <v>25.0</v>
      </c>
      <c r="G7" s="131" t="s">
        <v>26</v>
      </c>
      <c r="H7" s="131" t="s">
        <v>202</v>
      </c>
      <c r="I7" s="132">
        <v>45702.989583333336</v>
      </c>
      <c r="J7" s="133">
        <v>45703.052083333336</v>
      </c>
    </row>
    <row r="8" ht="21.0" customHeight="1">
      <c r="A8" s="115" t="s">
        <v>211</v>
      </c>
      <c r="B8" s="117">
        <v>6.15902374E8</v>
      </c>
      <c r="C8" s="117" t="s">
        <v>204</v>
      </c>
      <c r="D8" s="117" t="s">
        <v>24</v>
      </c>
      <c r="E8" s="130">
        <v>5000.0</v>
      </c>
      <c r="F8" s="130">
        <v>25.0</v>
      </c>
      <c r="G8" s="131" t="s">
        <v>26</v>
      </c>
      <c r="H8" s="131" t="s">
        <v>202</v>
      </c>
      <c r="I8" s="132">
        <v>45826.430555555555</v>
      </c>
      <c r="J8" s="133">
        <v>45826.59027777778</v>
      </c>
    </row>
    <row r="9" ht="21.0" customHeight="1">
      <c r="A9" s="115" t="s">
        <v>105</v>
      </c>
      <c r="B9" s="117">
        <v>6.15902374E8</v>
      </c>
      <c r="C9" s="117" t="s">
        <v>201</v>
      </c>
      <c r="D9" s="117" t="s">
        <v>24</v>
      </c>
      <c r="E9" s="130">
        <v>10000.0</v>
      </c>
      <c r="F9" s="130">
        <v>15.0</v>
      </c>
      <c r="G9" s="131" t="s">
        <v>26</v>
      </c>
      <c r="H9" s="131" t="s">
        <v>212</v>
      </c>
      <c r="I9" s="132">
        <v>45858.666666666664</v>
      </c>
      <c r="J9" s="134"/>
    </row>
    <row r="10" ht="21.0" customHeight="1">
      <c r="A10" s="115" t="s">
        <v>213</v>
      </c>
      <c r="B10" s="117">
        <v>9.03174628E8</v>
      </c>
      <c r="C10" s="117" t="s">
        <v>201</v>
      </c>
      <c r="D10" s="117" t="s">
        <v>24</v>
      </c>
      <c r="E10" s="130">
        <v>1000.0</v>
      </c>
      <c r="F10" s="130">
        <v>0.0</v>
      </c>
      <c r="G10" s="131" t="s">
        <v>29</v>
      </c>
      <c r="H10" s="131" t="s">
        <v>202</v>
      </c>
      <c r="I10" s="132">
        <v>45724.381944444445</v>
      </c>
      <c r="J10" s="133">
        <v>45725.479166666664</v>
      </c>
    </row>
    <row r="11" ht="21.0" customHeight="1">
      <c r="A11" s="115" t="s">
        <v>214</v>
      </c>
      <c r="B11" s="117">
        <v>9.03174628E8</v>
      </c>
      <c r="C11" s="117" t="s">
        <v>204</v>
      </c>
      <c r="D11" s="117" t="s">
        <v>24</v>
      </c>
      <c r="E11" s="130">
        <v>450.0</v>
      </c>
      <c r="F11" s="130">
        <v>2.0</v>
      </c>
      <c r="G11" s="131" t="s">
        <v>29</v>
      </c>
      <c r="H11" s="131" t="s">
        <v>202</v>
      </c>
      <c r="I11" s="132">
        <v>45762.583333333336</v>
      </c>
      <c r="J11" s="133">
        <v>45763.416666666664</v>
      </c>
    </row>
    <row r="12" ht="21.0" customHeight="1">
      <c r="A12" s="115" t="s">
        <v>215</v>
      </c>
      <c r="B12" s="117">
        <v>9.03174628E8</v>
      </c>
      <c r="C12" s="117" t="s">
        <v>204</v>
      </c>
      <c r="D12" s="117" t="s">
        <v>24</v>
      </c>
      <c r="E12" s="130">
        <v>200.0</v>
      </c>
      <c r="F12" s="130">
        <v>2.0</v>
      </c>
      <c r="G12" s="131" t="s">
        <v>29</v>
      </c>
      <c r="H12" s="131" t="s">
        <v>216</v>
      </c>
      <c r="I12" s="132">
        <v>45779.520833333336</v>
      </c>
      <c r="J12" s="134"/>
    </row>
    <row r="13" ht="21.0" customHeight="1">
      <c r="A13" s="115" t="s">
        <v>217</v>
      </c>
      <c r="B13" s="117">
        <v>5.28406193E8</v>
      </c>
      <c r="C13" s="117" t="s">
        <v>201</v>
      </c>
      <c r="D13" s="117" t="s">
        <v>31</v>
      </c>
      <c r="E13" s="130">
        <v>3000.0</v>
      </c>
      <c r="F13" s="130">
        <v>0.0</v>
      </c>
      <c r="G13" s="131" t="s">
        <v>35</v>
      </c>
      <c r="H13" s="131" t="s">
        <v>202</v>
      </c>
      <c r="I13" s="132">
        <v>45765.416666666664</v>
      </c>
      <c r="J13" s="133">
        <v>45765.419444444444</v>
      </c>
    </row>
    <row r="14" ht="21.0" customHeight="1">
      <c r="A14" s="115" t="s">
        <v>218</v>
      </c>
      <c r="B14" s="117">
        <v>5.28406193E8</v>
      </c>
      <c r="C14" s="117" t="s">
        <v>204</v>
      </c>
      <c r="D14" s="117" t="s">
        <v>31</v>
      </c>
      <c r="E14" s="130">
        <v>800.0</v>
      </c>
      <c r="F14" s="130">
        <v>1.0</v>
      </c>
      <c r="G14" s="131" t="s">
        <v>35</v>
      </c>
      <c r="H14" s="131" t="s">
        <v>202</v>
      </c>
      <c r="I14" s="132">
        <v>45802.645833333336</v>
      </c>
      <c r="J14" s="133">
        <v>45802.64791666667</v>
      </c>
    </row>
    <row r="15" ht="21.0" customHeight="1">
      <c r="A15" s="115" t="s">
        <v>219</v>
      </c>
      <c r="B15" s="117">
        <v>5.28406193E8</v>
      </c>
      <c r="C15" s="117" t="s">
        <v>204</v>
      </c>
      <c r="D15" s="117" t="s">
        <v>31</v>
      </c>
      <c r="E15" s="130">
        <v>1200.0</v>
      </c>
      <c r="F15" s="130">
        <v>1.0</v>
      </c>
      <c r="G15" s="131" t="s">
        <v>35</v>
      </c>
      <c r="H15" s="131" t="s">
        <v>202</v>
      </c>
      <c r="I15" s="132">
        <v>45879.76388888889</v>
      </c>
      <c r="J15" s="133">
        <v>45879.76666666667</v>
      </c>
    </row>
    <row r="16" ht="21.0" customHeight="1">
      <c r="A16" s="115" t="s">
        <v>220</v>
      </c>
      <c r="B16" s="117">
        <v>5.28406193E8</v>
      </c>
      <c r="C16" s="117" t="s">
        <v>201</v>
      </c>
      <c r="D16" s="117" t="s">
        <v>31</v>
      </c>
      <c r="E16" s="130">
        <v>500.0</v>
      </c>
      <c r="F16" s="130">
        <v>0.0</v>
      </c>
      <c r="G16" s="131" t="s">
        <v>35</v>
      </c>
      <c r="H16" s="131" t="s">
        <v>221</v>
      </c>
      <c r="I16" s="132">
        <v>45912.385416666664</v>
      </c>
      <c r="J16" s="134"/>
    </row>
    <row r="17" ht="21.0" customHeight="1">
      <c r="A17" s="115" t="s">
        <v>222</v>
      </c>
      <c r="B17" s="117">
        <v>8.46219537E8</v>
      </c>
      <c r="C17" s="117" t="s">
        <v>201</v>
      </c>
      <c r="D17" s="117" t="s">
        <v>28</v>
      </c>
      <c r="E17" s="130">
        <v>4200.0</v>
      </c>
      <c r="F17" s="130">
        <v>0.0</v>
      </c>
      <c r="G17" s="131" t="s">
        <v>32</v>
      </c>
      <c r="H17" s="131" t="s">
        <v>202</v>
      </c>
      <c r="I17" s="132">
        <v>45797.46527777778</v>
      </c>
      <c r="J17" s="133">
        <v>45797.46666666667</v>
      </c>
    </row>
    <row r="18" ht="21.0" customHeight="1">
      <c r="A18" s="115" t="s">
        <v>223</v>
      </c>
      <c r="B18" s="117">
        <v>8.46219537E8</v>
      </c>
      <c r="C18" s="117" t="s">
        <v>201</v>
      </c>
      <c r="D18" s="117" t="s">
        <v>28</v>
      </c>
      <c r="E18" s="130">
        <v>1800.0</v>
      </c>
      <c r="F18" s="130">
        <v>0.0</v>
      </c>
      <c r="G18" s="131" t="s">
        <v>206</v>
      </c>
      <c r="H18" s="131" t="s">
        <v>202</v>
      </c>
      <c r="I18" s="132">
        <v>45849.569444444445</v>
      </c>
      <c r="J18" s="133">
        <v>45849.743055555555</v>
      </c>
    </row>
    <row r="19" ht="21.0" customHeight="1">
      <c r="A19" s="115" t="s">
        <v>224</v>
      </c>
      <c r="B19" s="117">
        <v>6.92481305E8</v>
      </c>
      <c r="C19" s="117" t="s">
        <v>201</v>
      </c>
      <c r="D19" s="117" t="s">
        <v>24</v>
      </c>
      <c r="E19" s="130">
        <v>25000.0</v>
      </c>
      <c r="F19" s="130">
        <v>15.0</v>
      </c>
      <c r="G19" s="131" t="s">
        <v>26</v>
      </c>
      <c r="H19" s="131" t="s">
        <v>202</v>
      </c>
      <c r="I19" s="132">
        <v>45813.395833333336</v>
      </c>
      <c r="J19" s="133">
        <v>45813.67361111111</v>
      </c>
    </row>
    <row r="20" ht="21.0" customHeight="1">
      <c r="A20" s="115" t="s">
        <v>225</v>
      </c>
      <c r="B20" s="117">
        <v>6.92481305E8</v>
      </c>
      <c r="C20" s="117" t="s">
        <v>204</v>
      </c>
      <c r="D20" s="117" t="s">
        <v>24</v>
      </c>
      <c r="E20" s="130">
        <v>10000.0</v>
      </c>
      <c r="F20" s="130">
        <v>25.0</v>
      </c>
      <c r="G20" s="131" t="s">
        <v>26</v>
      </c>
      <c r="H20" s="131" t="s">
        <v>202</v>
      </c>
      <c r="I20" s="132">
        <v>45915.583333333336</v>
      </c>
      <c r="J20" s="133">
        <v>45915.729166666664</v>
      </c>
    </row>
    <row r="21" ht="21.0" customHeight="1">
      <c r="A21" s="115" t="s">
        <v>226</v>
      </c>
      <c r="B21" s="117">
        <v>4.38750921E8</v>
      </c>
      <c r="C21" s="117" t="s">
        <v>201</v>
      </c>
      <c r="D21" s="117" t="s">
        <v>34</v>
      </c>
      <c r="E21" s="130">
        <v>2500.0</v>
      </c>
      <c r="F21" s="130">
        <v>0.0</v>
      </c>
      <c r="G21" s="131" t="s">
        <v>227</v>
      </c>
      <c r="H21" s="131" t="s">
        <v>202</v>
      </c>
      <c r="I21" s="132">
        <v>45657.993055555555</v>
      </c>
      <c r="J21" s="133">
        <v>45657.99444444444</v>
      </c>
    </row>
    <row r="22" ht="21.0" customHeight="1">
      <c r="A22" s="115" t="s">
        <v>228</v>
      </c>
      <c r="B22" s="117">
        <v>4.38750921E8</v>
      </c>
      <c r="C22" s="117" t="s">
        <v>204</v>
      </c>
      <c r="D22" s="117" t="s">
        <v>34</v>
      </c>
      <c r="E22" s="130">
        <v>2500.0</v>
      </c>
      <c r="F22" s="130">
        <v>3.5</v>
      </c>
      <c r="G22" s="131" t="s">
        <v>227</v>
      </c>
      <c r="H22" s="131" t="s">
        <v>202</v>
      </c>
      <c r="I22" s="132">
        <v>45658.01388888889</v>
      </c>
      <c r="J22" s="133">
        <v>45658.01527777778</v>
      </c>
    </row>
    <row r="23" ht="21.0" customHeight="1">
      <c r="A23" s="115" t="s">
        <v>229</v>
      </c>
      <c r="B23" s="117">
        <v>3.19582046E8</v>
      </c>
      <c r="C23" s="117" t="s">
        <v>201</v>
      </c>
      <c r="D23" s="117" t="s">
        <v>37</v>
      </c>
      <c r="E23" s="130">
        <v>15000.0</v>
      </c>
      <c r="F23" s="130">
        <v>0.0</v>
      </c>
      <c r="G23" s="131" t="s">
        <v>230</v>
      </c>
      <c r="H23" s="131" t="s">
        <v>202</v>
      </c>
      <c r="I23" s="132">
        <v>45901.416666666664</v>
      </c>
      <c r="J23" s="133">
        <v>45901.42013888889</v>
      </c>
    </row>
    <row r="24" ht="21.0" customHeight="1">
      <c r="A24" s="115" t="s">
        <v>231</v>
      </c>
      <c r="B24" s="117">
        <v>3.19582046E8</v>
      </c>
      <c r="C24" s="117" t="s">
        <v>204</v>
      </c>
      <c r="D24" s="117" t="s">
        <v>37</v>
      </c>
      <c r="E24" s="130">
        <v>6000.0</v>
      </c>
      <c r="F24" s="130">
        <v>15.0</v>
      </c>
      <c r="G24" s="131" t="s">
        <v>230</v>
      </c>
      <c r="H24" s="131" t="s">
        <v>202</v>
      </c>
      <c r="I24" s="132">
        <v>45940.59722222222</v>
      </c>
      <c r="J24" s="133">
        <v>45940.600694444445</v>
      </c>
    </row>
    <row r="25" ht="21.0" customHeight="1">
      <c r="A25" s="115" t="s">
        <v>78</v>
      </c>
      <c r="B25" s="117">
        <v>5.02847193E8</v>
      </c>
      <c r="C25" s="117" t="s">
        <v>204</v>
      </c>
      <c r="D25" s="117" t="s">
        <v>24</v>
      </c>
      <c r="E25" s="130">
        <v>800.0</v>
      </c>
      <c r="F25" s="130">
        <v>2.0</v>
      </c>
      <c r="G25" s="131" t="s">
        <v>29</v>
      </c>
      <c r="H25" s="131" t="s">
        <v>202</v>
      </c>
      <c r="I25" s="132">
        <v>45920.697916666664</v>
      </c>
      <c r="J25" s="133">
        <v>45921.395833333336</v>
      </c>
    </row>
    <row r="26" ht="21.0" customHeight="1">
      <c r="A26" s="135" t="s">
        <v>89</v>
      </c>
      <c r="B26" s="136">
        <v>5.02847193E8</v>
      </c>
      <c r="C26" s="136" t="s">
        <v>204</v>
      </c>
      <c r="D26" s="136" t="s">
        <v>24</v>
      </c>
      <c r="E26" s="137">
        <v>20.0</v>
      </c>
      <c r="F26" s="137">
        <v>1.0</v>
      </c>
      <c r="G26" s="136" t="s">
        <v>29</v>
      </c>
      <c r="H26" s="136" t="s">
        <v>202</v>
      </c>
      <c r="I26" s="138">
        <v>45955.458333333336</v>
      </c>
      <c r="J26" s="139">
        <v>45955.645833333336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6">
      <formula1>"deposit,withdrawal"</formula1>
    </dataValidation>
    <dataValidation type="list" allowBlank="1" sqref="H2:H26">
      <formula1>"completed,pending,processing,failed,cancelled"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25"/>
    <col customWidth="1" min="2" max="2" width="10.38"/>
    <col customWidth="1" min="3" max="3" width="14.13"/>
    <col customWidth="1" min="4" max="4" width="10.38"/>
    <col customWidth="1" min="5" max="5" width="14.38"/>
    <col customWidth="1" min="6" max="6" width="13.88"/>
    <col customWidth="1" min="7" max="7" width="10.88"/>
    <col customWidth="1" min="8" max="8" width="33.88"/>
    <col customWidth="1" min="9" max="9" width="40.63"/>
    <col customWidth="1" min="10" max="10" width="14.0"/>
    <col customWidth="1" min="11" max="11" width="15.88"/>
    <col customWidth="1" min="12" max="13" width="17.0"/>
    <col customWidth="1" min="14" max="21" width="8.63"/>
  </cols>
  <sheetData>
    <row r="1" ht="24.0" customHeight="1">
      <c r="A1" s="128" t="s">
        <v>232</v>
      </c>
      <c r="B1" s="113" t="s">
        <v>155</v>
      </c>
      <c r="C1" s="113" t="s">
        <v>193</v>
      </c>
      <c r="D1" s="113" t="s">
        <v>233</v>
      </c>
      <c r="E1" s="113" t="s">
        <v>234</v>
      </c>
      <c r="F1" s="113" t="s">
        <v>195</v>
      </c>
      <c r="G1" s="113" t="s">
        <v>196</v>
      </c>
      <c r="H1" s="113" t="s">
        <v>235</v>
      </c>
      <c r="I1" s="113" t="s">
        <v>236</v>
      </c>
      <c r="J1" s="113" t="s">
        <v>198</v>
      </c>
      <c r="K1" s="113" t="s">
        <v>237</v>
      </c>
      <c r="L1" s="113" t="s">
        <v>161</v>
      </c>
      <c r="M1" s="129" t="s">
        <v>199</v>
      </c>
    </row>
    <row r="2" ht="21.0" customHeight="1">
      <c r="A2" s="115" t="s">
        <v>238</v>
      </c>
      <c r="B2" s="117">
        <v>7.84231905E8</v>
      </c>
      <c r="C2" s="117" t="s">
        <v>201</v>
      </c>
      <c r="D2" s="117" t="s">
        <v>40</v>
      </c>
      <c r="E2" s="117" t="s">
        <v>38</v>
      </c>
      <c r="F2" s="140">
        <v>1500.0</v>
      </c>
      <c r="G2" s="140">
        <v>0.0</v>
      </c>
      <c r="H2" s="141" t="s">
        <v>239</v>
      </c>
      <c r="I2" s="141" t="s">
        <v>240</v>
      </c>
      <c r="J2" s="117" t="s">
        <v>202</v>
      </c>
      <c r="K2" s="142">
        <v>26.0</v>
      </c>
      <c r="L2" s="132">
        <v>45667.47222222222</v>
      </c>
      <c r="M2" s="133">
        <v>45667.50486111111</v>
      </c>
    </row>
    <row r="3" ht="21.0" customHeight="1">
      <c r="A3" s="115" t="s">
        <v>241</v>
      </c>
      <c r="B3" s="117">
        <v>7.84231905E8</v>
      </c>
      <c r="C3" s="117" t="s">
        <v>204</v>
      </c>
      <c r="D3" s="117" t="s">
        <v>40</v>
      </c>
      <c r="E3" s="117" t="s">
        <v>38</v>
      </c>
      <c r="F3" s="140">
        <v>500.0</v>
      </c>
      <c r="G3" s="140">
        <v>1.0</v>
      </c>
      <c r="H3" s="141" t="s">
        <v>242</v>
      </c>
      <c r="I3" s="141" t="s">
        <v>243</v>
      </c>
      <c r="J3" s="117" t="s">
        <v>202</v>
      </c>
      <c r="K3" s="142">
        <v>20.0</v>
      </c>
      <c r="L3" s="132">
        <v>45710.756944444445</v>
      </c>
      <c r="M3" s="133">
        <v>45710.79791666667</v>
      </c>
    </row>
    <row r="4" ht="21.0" customHeight="1">
      <c r="A4" s="115" t="s">
        <v>244</v>
      </c>
      <c r="B4" s="117">
        <v>7.84231905E8</v>
      </c>
      <c r="C4" s="117" t="s">
        <v>201</v>
      </c>
      <c r="D4" s="117" t="s">
        <v>48</v>
      </c>
      <c r="E4" s="117" t="s">
        <v>42</v>
      </c>
      <c r="F4" s="140">
        <v>0.2</v>
      </c>
      <c r="G4" s="140">
        <v>0.0</v>
      </c>
      <c r="H4" s="141" t="s">
        <v>245</v>
      </c>
      <c r="I4" s="141" t="s">
        <v>246</v>
      </c>
      <c r="J4" s="117" t="s">
        <v>202</v>
      </c>
      <c r="K4" s="142">
        <v>25.0</v>
      </c>
      <c r="L4" s="132">
        <v>45813.322916666664</v>
      </c>
      <c r="M4" s="133">
        <v>45813.37222222222</v>
      </c>
    </row>
    <row r="5" ht="21.0" customHeight="1">
      <c r="A5" s="115" t="s">
        <v>247</v>
      </c>
      <c r="B5" s="117">
        <v>6.15902374E8</v>
      </c>
      <c r="C5" s="117" t="s">
        <v>201</v>
      </c>
      <c r="D5" s="117" t="s">
        <v>44</v>
      </c>
      <c r="E5" s="117" t="s">
        <v>248</v>
      </c>
      <c r="F5" s="140">
        <v>0.05</v>
      </c>
      <c r="G5" s="140">
        <v>0.0</v>
      </c>
      <c r="H5" s="141" t="s">
        <v>249</v>
      </c>
      <c r="I5" s="141" t="s">
        <v>250</v>
      </c>
      <c r="J5" s="117" t="s">
        <v>202</v>
      </c>
      <c r="K5" s="142">
        <v>15.0</v>
      </c>
      <c r="L5" s="132">
        <v>45736.50347222222</v>
      </c>
      <c r="M5" s="133">
        <v>45736.51458333333</v>
      </c>
    </row>
    <row r="6" ht="21.0" customHeight="1">
      <c r="A6" s="115" t="s">
        <v>251</v>
      </c>
      <c r="B6" s="117">
        <v>6.15902374E8</v>
      </c>
      <c r="C6" s="117" t="s">
        <v>204</v>
      </c>
      <c r="D6" s="117" t="s">
        <v>44</v>
      </c>
      <c r="E6" s="117" t="s">
        <v>248</v>
      </c>
      <c r="F6" s="140">
        <v>0.02</v>
      </c>
      <c r="G6" s="140">
        <v>2.0E-4</v>
      </c>
      <c r="H6" s="141" t="s">
        <v>252</v>
      </c>
      <c r="I6" s="141" t="s">
        <v>253</v>
      </c>
      <c r="J6" s="117" t="s">
        <v>202</v>
      </c>
      <c r="K6" s="142">
        <v>14.0</v>
      </c>
      <c r="L6" s="132">
        <v>45870.6875</v>
      </c>
      <c r="M6" s="133">
        <v>45870.69375</v>
      </c>
    </row>
    <row r="7" ht="21.0" customHeight="1">
      <c r="A7" s="115" t="s">
        <v>254</v>
      </c>
      <c r="B7" s="117">
        <v>6.15902374E8</v>
      </c>
      <c r="C7" s="117" t="s">
        <v>201</v>
      </c>
      <c r="D7" s="117" t="s">
        <v>40</v>
      </c>
      <c r="E7" s="117" t="s">
        <v>45</v>
      </c>
      <c r="F7" s="140">
        <v>600.0</v>
      </c>
      <c r="G7" s="140">
        <v>0.0</v>
      </c>
      <c r="H7" s="141" t="s">
        <v>255</v>
      </c>
      <c r="I7" s="141" t="s">
        <v>256</v>
      </c>
      <c r="J7" s="117" t="s">
        <v>202</v>
      </c>
      <c r="K7" s="142">
        <v>25.0</v>
      </c>
      <c r="L7" s="132">
        <v>45884.37847222222</v>
      </c>
      <c r="M7" s="133">
        <v>45884.40416666667</v>
      </c>
    </row>
    <row r="8" ht="21.0" customHeight="1">
      <c r="A8" s="115" t="s">
        <v>257</v>
      </c>
      <c r="B8" s="117">
        <v>9.03174628E8</v>
      </c>
      <c r="C8" s="117" t="s">
        <v>201</v>
      </c>
      <c r="D8" s="117" t="s">
        <v>40</v>
      </c>
      <c r="E8" s="117" t="s">
        <v>49</v>
      </c>
      <c r="F8" s="140">
        <v>400.0</v>
      </c>
      <c r="G8" s="140">
        <v>0.0</v>
      </c>
      <c r="H8" s="141" t="s">
        <v>258</v>
      </c>
      <c r="I8" s="141" t="s">
        <v>259</v>
      </c>
      <c r="J8" s="117" t="s">
        <v>202</v>
      </c>
      <c r="K8" s="142">
        <v>26.0</v>
      </c>
      <c r="L8" s="132">
        <v>45700.569444444445</v>
      </c>
      <c r="M8" s="133">
        <v>45700.575694444444</v>
      </c>
    </row>
    <row r="9" ht="21.0" customHeight="1">
      <c r="A9" s="115" t="s">
        <v>260</v>
      </c>
      <c r="B9" s="117">
        <v>9.03174628E8</v>
      </c>
      <c r="C9" s="117" t="s">
        <v>204</v>
      </c>
      <c r="D9" s="117" t="s">
        <v>40</v>
      </c>
      <c r="E9" s="117" t="s">
        <v>45</v>
      </c>
      <c r="F9" s="140">
        <v>300.0</v>
      </c>
      <c r="G9" s="140">
        <v>0.8</v>
      </c>
      <c r="H9" s="141" t="s">
        <v>261</v>
      </c>
      <c r="I9" s="141" t="s">
        <v>262</v>
      </c>
      <c r="J9" s="117" t="s">
        <v>202</v>
      </c>
      <c r="K9" s="142">
        <v>17.0</v>
      </c>
      <c r="L9" s="132">
        <v>45902.430555555555</v>
      </c>
      <c r="M9" s="133">
        <v>45902.47430555556</v>
      </c>
    </row>
    <row r="10" ht="21.0" customHeight="1">
      <c r="A10" s="115" t="s">
        <v>83</v>
      </c>
      <c r="B10" s="117">
        <v>9.03174628E8</v>
      </c>
      <c r="C10" s="117" t="s">
        <v>204</v>
      </c>
      <c r="D10" s="117" t="s">
        <v>40</v>
      </c>
      <c r="E10" s="117" t="s">
        <v>49</v>
      </c>
      <c r="F10" s="140">
        <v>250.0</v>
      </c>
      <c r="G10" s="140">
        <v>0.3</v>
      </c>
      <c r="H10" s="143"/>
      <c r="I10" s="141" t="s">
        <v>263</v>
      </c>
      <c r="J10" s="117" t="s">
        <v>221</v>
      </c>
      <c r="K10" s="142">
        <v>0.0</v>
      </c>
      <c r="L10" s="132">
        <v>46011.84027777778</v>
      </c>
      <c r="M10" s="134"/>
    </row>
    <row r="11" ht="21.0" customHeight="1">
      <c r="A11" s="115" t="s">
        <v>264</v>
      </c>
      <c r="B11" s="117">
        <v>5.28406193E8</v>
      </c>
      <c r="C11" s="117" t="s">
        <v>204</v>
      </c>
      <c r="D11" s="117" t="s">
        <v>40</v>
      </c>
      <c r="E11" s="117" t="s">
        <v>42</v>
      </c>
      <c r="F11" s="140">
        <v>1500.0</v>
      </c>
      <c r="G11" s="140">
        <v>5.0</v>
      </c>
      <c r="H11" s="141" t="s">
        <v>265</v>
      </c>
      <c r="I11" s="141" t="s">
        <v>266</v>
      </c>
      <c r="J11" s="117" t="s">
        <v>202</v>
      </c>
      <c r="K11" s="142">
        <v>23.0</v>
      </c>
      <c r="L11" s="132">
        <v>45754.885416666664</v>
      </c>
      <c r="M11" s="133">
        <v>45754.89027777778</v>
      </c>
    </row>
    <row r="12" ht="21.0" customHeight="1">
      <c r="A12" s="115" t="s">
        <v>267</v>
      </c>
      <c r="B12" s="117">
        <v>5.28406193E8</v>
      </c>
      <c r="C12" s="117" t="s">
        <v>201</v>
      </c>
      <c r="D12" s="117" t="s">
        <v>40</v>
      </c>
      <c r="E12" s="117" t="s">
        <v>38</v>
      </c>
      <c r="F12" s="140">
        <v>700.0</v>
      </c>
      <c r="G12" s="140">
        <v>0.0</v>
      </c>
      <c r="H12" s="141" t="s">
        <v>268</v>
      </c>
      <c r="I12" s="141" t="s">
        <v>269</v>
      </c>
      <c r="J12" s="117" t="s">
        <v>202</v>
      </c>
      <c r="K12" s="142">
        <v>23.0</v>
      </c>
      <c r="L12" s="132">
        <v>45767.364583333336</v>
      </c>
      <c r="M12" s="133">
        <v>45767.41875</v>
      </c>
    </row>
    <row r="13" ht="21.0" customHeight="1">
      <c r="A13" s="115" t="s">
        <v>270</v>
      </c>
      <c r="B13" s="117">
        <v>5.28406193E8</v>
      </c>
      <c r="C13" s="117" t="s">
        <v>204</v>
      </c>
      <c r="D13" s="117" t="s">
        <v>40</v>
      </c>
      <c r="E13" s="117" t="s">
        <v>38</v>
      </c>
      <c r="F13" s="140">
        <v>300.0</v>
      </c>
      <c r="G13" s="140">
        <v>1.0</v>
      </c>
      <c r="H13" s="141" t="s">
        <v>271</v>
      </c>
      <c r="I13" s="141" t="s">
        <v>272</v>
      </c>
      <c r="J13" s="117" t="s">
        <v>202</v>
      </c>
      <c r="K13" s="142">
        <v>21.0</v>
      </c>
      <c r="L13" s="132">
        <v>45972.54513888889</v>
      </c>
      <c r="M13" s="133">
        <v>45972.54791666667</v>
      </c>
    </row>
    <row r="14" ht="21.0" customHeight="1">
      <c r="A14" s="115" t="s">
        <v>273</v>
      </c>
      <c r="B14" s="117">
        <v>8.46219537E8</v>
      </c>
      <c r="C14" s="117" t="s">
        <v>201</v>
      </c>
      <c r="D14" s="117" t="s">
        <v>48</v>
      </c>
      <c r="E14" s="117" t="s">
        <v>42</v>
      </c>
      <c r="F14" s="140">
        <v>0.4</v>
      </c>
      <c r="G14" s="140">
        <v>0.0</v>
      </c>
      <c r="H14" s="141" t="s">
        <v>274</v>
      </c>
      <c r="I14" s="141" t="s">
        <v>275</v>
      </c>
      <c r="J14" s="117" t="s">
        <v>202</v>
      </c>
      <c r="K14" s="142">
        <v>15.0</v>
      </c>
      <c r="L14" s="132">
        <v>45662.26736111111</v>
      </c>
      <c r="M14" s="133">
        <v>45662.32361111111</v>
      </c>
    </row>
    <row r="15" ht="21.0" customHeight="1">
      <c r="A15" s="115" t="s">
        <v>276</v>
      </c>
      <c r="B15" s="117">
        <v>8.46219537E8</v>
      </c>
      <c r="C15" s="117" t="s">
        <v>204</v>
      </c>
      <c r="D15" s="117" t="s">
        <v>48</v>
      </c>
      <c r="E15" s="117" t="s">
        <v>42</v>
      </c>
      <c r="F15" s="140">
        <v>0.1</v>
      </c>
      <c r="G15" s="140">
        <v>0.0012</v>
      </c>
      <c r="H15" s="141" t="s">
        <v>277</v>
      </c>
      <c r="I15" s="141" t="s">
        <v>278</v>
      </c>
      <c r="J15" s="117" t="s">
        <v>202</v>
      </c>
      <c r="K15" s="142">
        <v>26.0</v>
      </c>
      <c r="L15" s="132">
        <v>45782.71875</v>
      </c>
      <c r="M15" s="133">
        <v>45782.74791666667</v>
      </c>
    </row>
    <row r="16" ht="21.0" customHeight="1">
      <c r="A16" s="115" t="s">
        <v>279</v>
      </c>
      <c r="B16" s="117">
        <v>8.46219537E8</v>
      </c>
      <c r="C16" s="117" t="s">
        <v>201</v>
      </c>
      <c r="D16" s="117" t="s">
        <v>40</v>
      </c>
      <c r="E16" s="117" t="s">
        <v>38</v>
      </c>
      <c r="F16" s="140">
        <v>1000.0</v>
      </c>
      <c r="G16" s="140">
        <v>0.0</v>
      </c>
      <c r="H16" s="141" t="s">
        <v>280</v>
      </c>
      <c r="I16" s="141" t="s">
        <v>281</v>
      </c>
      <c r="J16" s="117" t="s">
        <v>202</v>
      </c>
      <c r="K16" s="142">
        <v>27.0</v>
      </c>
      <c r="L16" s="132">
        <v>45940.375</v>
      </c>
      <c r="M16" s="133">
        <v>45940.40902777778</v>
      </c>
    </row>
    <row r="17" ht="21.0" customHeight="1">
      <c r="A17" s="115" t="s">
        <v>282</v>
      </c>
      <c r="B17" s="117">
        <v>6.92481305E8</v>
      </c>
      <c r="C17" s="117" t="s">
        <v>201</v>
      </c>
      <c r="D17" s="117" t="s">
        <v>40</v>
      </c>
      <c r="E17" s="117" t="s">
        <v>38</v>
      </c>
      <c r="F17" s="140">
        <v>2000.0</v>
      </c>
      <c r="G17" s="140">
        <v>0.0</v>
      </c>
      <c r="H17" s="141" t="s">
        <v>283</v>
      </c>
      <c r="I17" s="141" t="s">
        <v>284</v>
      </c>
      <c r="J17" s="117" t="s">
        <v>202</v>
      </c>
      <c r="K17" s="142">
        <v>21.0</v>
      </c>
      <c r="L17" s="132">
        <v>45664.604166666664</v>
      </c>
      <c r="M17" s="133">
        <v>45664.62847222222</v>
      </c>
    </row>
    <row r="18" ht="21.0" customHeight="1">
      <c r="A18" s="115" t="s">
        <v>285</v>
      </c>
      <c r="B18" s="117">
        <v>6.92481305E8</v>
      </c>
      <c r="C18" s="117" t="s">
        <v>204</v>
      </c>
      <c r="D18" s="117" t="s">
        <v>40</v>
      </c>
      <c r="E18" s="117" t="s">
        <v>38</v>
      </c>
      <c r="F18" s="140">
        <v>600.0</v>
      </c>
      <c r="G18" s="140">
        <v>1.0</v>
      </c>
      <c r="H18" s="141" t="s">
        <v>286</v>
      </c>
      <c r="I18" s="141" t="s">
        <v>287</v>
      </c>
      <c r="J18" s="117" t="s">
        <v>202</v>
      </c>
      <c r="K18" s="142">
        <v>22.0</v>
      </c>
      <c r="L18" s="132">
        <v>45734.48611111111</v>
      </c>
      <c r="M18" s="133">
        <v>45734.54236111111</v>
      </c>
    </row>
    <row r="19" ht="21.0" customHeight="1">
      <c r="A19" s="115" t="s">
        <v>288</v>
      </c>
      <c r="B19" s="117">
        <v>6.92481305E8</v>
      </c>
      <c r="C19" s="117" t="s">
        <v>201</v>
      </c>
      <c r="D19" s="117" t="s">
        <v>44</v>
      </c>
      <c r="E19" s="117" t="s">
        <v>248</v>
      </c>
      <c r="F19" s="140">
        <v>0.03</v>
      </c>
      <c r="G19" s="140">
        <v>0.0</v>
      </c>
      <c r="H19" s="141" t="s">
        <v>289</v>
      </c>
      <c r="I19" s="141" t="s">
        <v>290</v>
      </c>
      <c r="J19" s="117" t="s">
        <v>202</v>
      </c>
      <c r="K19" s="142">
        <v>7.0</v>
      </c>
      <c r="L19" s="132">
        <v>45847.80902777778</v>
      </c>
      <c r="M19" s="133">
        <v>45847.86666666667</v>
      </c>
    </row>
    <row r="20" ht="21.0" customHeight="1">
      <c r="A20" s="115" t="s">
        <v>94</v>
      </c>
      <c r="B20" s="117">
        <v>6.92481305E8</v>
      </c>
      <c r="C20" s="117" t="s">
        <v>201</v>
      </c>
      <c r="D20" s="117" t="s">
        <v>40</v>
      </c>
      <c r="E20" s="117" t="s">
        <v>45</v>
      </c>
      <c r="F20" s="140">
        <v>500.0</v>
      </c>
      <c r="G20" s="140">
        <v>0.0</v>
      </c>
      <c r="H20" s="141" t="s">
        <v>291</v>
      </c>
      <c r="I20" s="141" t="s">
        <v>292</v>
      </c>
      <c r="J20" s="117" t="s">
        <v>293</v>
      </c>
      <c r="K20" s="142">
        <v>5.0</v>
      </c>
      <c r="L20" s="132">
        <v>45870.34027777778</v>
      </c>
      <c r="M20" s="134"/>
    </row>
    <row r="21" ht="21.0" customHeight="1">
      <c r="A21" s="115" t="s">
        <v>116</v>
      </c>
      <c r="B21" s="117">
        <v>6.92481305E8</v>
      </c>
      <c r="C21" s="117" t="s">
        <v>204</v>
      </c>
      <c r="D21" s="117" t="s">
        <v>40</v>
      </c>
      <c r="E21" s="117" t="s">
        <v>45</v>
      </c>
      <c r="F21" s="140">
        <v>300.0</v>
      </c>
      <c r="G21" s="140">
        <v>0.8</v>
      </c>
      <c r="H21" s="143"/>
      <c r="I21" s="141" t="s">
        <v>294</v>
      </c>
      <c r="J21" s="117" t="s">
        <v>208</v>
      </c>
      <c r="K21" s="142">
        <v>0.0</v>
      </c>
      <c r="L21" s="132">
        <v>45992.305555555555</v>
      </c>
      <c r="M21" s="134"/>
    </row>
    <row r="22" ht="21.0" customHeight="1">
      <c r="A22" s="115" t="s">
        <v>295</v>
      </c>
      <c r="B22" s="117">
        <v>4.38750921E8</v>
      </c>
      <c r="C22" s="117" t="s">
        <v>201</v>
      </c>
      <c r="D22" s="117" t="s">
        <v>40</v>
      </c>
      <c r="E22" s="117" t="s">
        <v>38</v>
      </c>
      <c r="F22" s="140">
        <v>300.0</v>
      </c>
      <c r="G22" s="140">
        <v>0.0</v>
      </c>
      <c r="H22" s="141" t="s">
        <v>296</v>
      </c>
      <c r="I22" s="141" t="s">
        <v>297</v>
      </c>
      <c r="J22" s="117" t="s">
        <v>202</v>
      </c>
      <c r="K22" s="142">
        <v>26.0</v>
      </c>
      <c r="L22" s="132">
        <v>45657.98611111111</v>
      </c>
      <c r="M22" s="133">
        <v>45657.99652777778</v>
      </c>
    </row>
    <row r="23" ht="21.0" customHeight="1">
      <c r="A23" s="115" t="s">
        <v>298</v>
      </c>
      <c r="B23" s="117">
        <v>4.38750921E8</v>
      </c>
      <c r="C23" s="117" t="s">
        <v>201</v>
      </c>
      <c r="D23" s="117" t="s">
        <v>40</v>
      </c>
      <c r="E23" s="117" t="s">
        <v>38</v>
      </c>
      <c r="F23" s="140">
        <v>500.0</v>
      </c>
      <c r="G23" s="140">
        <v>0.0</v>
      </c>
      <c r="H23" s="141" t="s">
        <v>299</v>
      </c>
      <c r="I23" s="141" t="s">
        <v>300</v>
      </c>
      <c r="J23" s="117" t="s">
        <v>202</v>
      </c>
      <c r="K23" s="142">
        <v>25.0</v>
      </c>
      <c r="L23" s="132">
        <v>46023.010416666664</v>
      </c>
      <c r="M23" s="133">
        <v>46023.03611111111</v>
      </c>
    </row>
    <row r="24" ht="21.0" customHeight="1">
      <c r="A24" s="115" t="s">
        <v>301</v>
      </c>
      <c r="B24" s="117">
        <v>4.38750921E8</v>
      </c>
      <c r="C24" s="117" t="s">
        <v>201</v>
      </c>
      <c r="D24" s="117" t="s">
        <v>40</v>
      </c>
      <c r="E24" s="117" t="s">
        <v>38</v>
      </c>
      <c r="F24" s="140">
        <v>1000.0</v>
      </c>
      <c r="G24" s="140">
        <v>0.0</v>
      </c>
      <c r="H24" s="141" t="s">
        <v>302</v>
      </c>
      <c r="I24" s="141" t="s">
        <v>303</v>
      </c>
      <c r="J24" s="117" t="s">
        <v>202</v>
      </c>
      <c r="K24" s="142">
        <v>25.0</v>
      </c>
      <c r="L24" s="132">
        <v>46020.381944444445</v>
      </c>
      <c r="M24" s="133">
        <v>46020.39791666667</v>
      </c>
    </row>
    <row r="25" ht="21.0" customHeight="1">
      <c r="A25" s="115" t="s">
        <v>304</v>
      </c>
      <c r="B25" s="117">
        <v>4.38750921E8</v>
      </c>
      <c r="C25" s="117" t="s">
        <v>204</v>
      </c>
      <c r="D25" s="117" t="s">
        <v>40</v>
      </c>
      <c r="E25" s="117" t="s">
        <v>38</v>
      </c>
      <c r="F25" s="140">
        <v>1800.0</v>
      </c>
      <c r="G25" s="140">
        <v>1.0</v>
      </c>
      <c r="H25" s="141" t="s">
        <v>305</v>
      </c>
      <c r="I25" s="141" t="s">
        <v>306</v>
      </c>
      <c r="J25" s="117" t="s">
        <v>202</v>
      </c>
      <c r="K25" s="142">
        <v>34.0</v>
      </c>
      <c r="L25" s="132">
        <v>46022.510416666664</v>
      </c>
      <c r="M25" s="133">
        <v>46022.54583333333</v>
      </c>
    </row>
    <row r="26" ht="21.0" customHeight="1">
      <c r="A26" s="144" t="s">
        <v>307</v>
      </c>
      <c r="B26" s="145">
        <v>3.19582046E8</v>
      </c>
      <c r="C26" s="145" t="s">
        <v>201</v>
      </c>
      <c r="D26" s="145" t="s">
        <v>44</v>
      </c>
      <c r="E26" s="145" t="s">
        <v>248</v>
      </c>
      <c r="F26" s="146">
        <v>0.001</v>
      </c>
      <c r="G26" s="146">
        <v>0.0</v>
      </c>
      <c r="H26" s="147" t="s">
        <v>308</v>
      </c>
      <c r="I26" s="147" t="s">
        <v>309</v>
      </c>
      <c r="J26" s="145" t="s">
        <v>202</v>
      </c>
      <c r="K26" s="148">
        <v>6.0</v>
      </c>
      <c r="L26" s="149">
        <v>45966.59027777778</v>
      </c>
      <c r="M26" s="150">
        <v>45966.62152777778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6">
      <formula1>"deposit,withdrawal"</formula1>
    </dataValidation>
    <dataValidation type="list" allowBlank="1" sqref="J2:J26">
      <formula1>"completed,confirming,processing,failed,cancelled"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2" width="11.88"/>
    <col customWidth="1" min="3" max="3" width="10.5"/>
    <col customWidth="1" min="4" max="4" width="12.25"/>
    <col customWidth="1" min="5" max="5" width="11.63"/>
    <col customWidth="1" min="6" max="6" width="12.25"/>
    <col customWidth="1" min="7" max="7" width="12.13"/>
    <col customWidth="1" min="8" max="8" width="27.0"/>
  </cols>
  <sheetData>
    <row r="1" ht="27.0" customHeight="1">
      <c r="A1" s="151" t="s">
        <v>233</v>
      </c>
      <c r="B1" s="151" t="s">
        <v>310</v>
      </c>
      <c r="C1" s="151" t="s">
        <v>311</v>
      </c>
      <c r="D1" s="151" t="s">
        <v>312</v>
      </c>
      <c r="E1" s="151" t="s">
        <v>313</v>
      </c>
      <c r="F1" s="151" t="s">
        <v>314</v>
      </c>
      <c r="G1" s="151" t="s">
        <v>315</v>
      </c>
      <c r="H1" s="151" t="s">
        <v>316</v>
      </c>
    </row>
    <row r="2" ht="21.0" customHeight="1">
      <c r="A2" s="152" t="s">
        <v>40</v>
      </c>
      <c r="B2" s="153" t="s">
        <v>317</v>
      </c>
      <c r="C2" s="152" t="s">
        <v>318</v>
      </c>
      <c r="D2" s="152" t="s">
        <v>40</v>
      </c>
      <c r="E2" s="154">
        <v>1.0</v>
      </c>
      <c r="F2" s="155">
        <f t="shared" ref="F2:F9" si="1">IFERROR(1/E2, 0)</f>
        <v>1</v>
      </c>
      <c r="G2" s="156">
        <v>45536.0</v>
      </c>
      <c r="H2" s="153" t="s">
        <v>319</v>
      </c>
    </row>
    <row r="3" ht="21.0" customHeight="1">
      <c r="A3" s="157" t="s">
        <v>44</v>
      </c>
      <c r="B3" s="158" t="s">
        <v>320</v>
      </c>
      <c r="C3" s="157" t="s">
        <v>318</v>
      </c>
      <c r="D3" s="157" t="s">
        <v>40</v>
      </c>
      <c r="E3" s="159">
        <v>64500.0</v>
      </c>
      <c r="F3" s="160">
        <f t="shared" si="1"/>
        <v>0.00001550387597</v>
      </c>
      <c r="G3" s="161">
        <v>45536.0</v>
      </c>
      <c r="H3" s="158" t="s">
        <v>321</v>
      </c>
    </row>
    <row r="4" ht="21.0" customHeight="1">
      <c r="A4" s="152" t="s">
        <v>48</v>
      </c>
      <c r="B4" s="153" t="s">
        <v>322</v>
      </c>
      <c r="C4" s="152" t="s">
        <v>318</v>
      </c>
      <c r="D4" s="152" t="s">
        <v>40</v>
      </c>
      <c r="E4" s="154">
        <v>2650.0</v>
      </c>
      <c r="F4" s="155">
        <f t="shared" si="1"/>
        <v>0.0003773584906</v>
      </c>
      <c r="G4" s="156">
        <v>45536.0</v>
      </c>
      <c r="H4" s="153" t="s">
        <v>321</v>
      </c>
    </row>
    <row r="5" ht="21.0" customHeight="1">
      <c r="A5" s="157" t="s">
        <v>24</v>
      </c>
      <c r="B5" s="158" t="s">
        <v>323</v>
      </c>
      <c r="C5" s="157" t="s">
        <v>324</v>
      </c>
      <c r="D5" s="157" t="s">
        <v>40</v>
      </c>
      <c r="E5" s="159">
        <v>1.0</v>
      </c>
      <c r="F5" s="160">
        <f t="shared" si="1"/>
        <v>1</v>
      </c>
      <c r="G5" s="161">
        <v>45536.0</v>
      </c>
      <c r="H5" s="158" t="s">
        <v>325</v>
      </c>
    </row>
    <row r="6" ht="21.0" customHeight="1">
      <c r="A6" s="152" t="s">
        <v>28</v>
      </c>
      <c r="B6" s="153" t="s">
        <v>326</v>
      </c>
      <c r="C6" s="152" t="s">
        <v>324</v>
      </c>
      <c r="D6" s="152" t="s">
        <v>40</v>
      </c>
      <c r="E6" s="154">
        <v>1.085</v>
      </c>
      <c r="F6" s="155">
        <f t="shared" si="1"/>
        <v>0.9216589862</v>
      </c>
      <c r="G6" s="156">
        <v>45536.0</v>
      </c>
      <c r="H6" s="153" t="s">
        <v>327</v>
      </c>
    </row>
    <row r="7" ht="21.0" customHeight="1">
      <c r="A7" s="157" t="s">
        <v>31</v>
      </c>
      <c r="B7" s="158" t="s">
        <v>328</v>
      </c>
      <c r="C7" s="157" t="s">
        <v>324</v>
      </c>
      <c r="D7" s="157" t="s">
        <v>40</v>
      </c>
      <c r="E7" s="159">
        <v>1.285</v>
      </c>
      <c r="F7" s="160">
        <f t="shared" si="1"/>
        <v>0.7782101167</v>
      </c>
      <c r="G7" s="161">
        <v>45536.0</v>
      </c>
      <c r="H7" s="158" t="s">
        <v>329</v>
      </c>
    </row>
    <row r="8" ht="21.0" customHeight="1">
      <c r="A8" s="152" t="s">
        <v>34</v>
      </c>
      <c r="B8" s="153" t="s">
        <v>330</v>
      </c>
      <c r="C8" s="152" t="s">
        <v>324</v>
      </c>
      <c r="D8" s="152" t="s">
        <v>40</v>
      </c>
      <c r="E8" s="154">
        <v>0.182</v>
      </c>
      <c r="F8" s="155">
        <f t="shared" si="1"/>
        <v>5.494505495</v>
      </c>
      <c r="G8" s="156">
        <v>45536.0</v>
      </c>
      <c r="H8" s="153" t="s">
        <v>331</v>
      </c>
    </row>
    <row r="9" ht="21.0" customHeight="1">
      <c r="A9" s="157" t="s">
        <v>37</v>
      </c>
      <c r="B9" s="158" t="s">
        <v>332</v>
      </c>
      <c r="C9" s="157" t="s">
        <v>324</v>
      </c>
      <c r="D9" s="157" t="s">
        <v>40</v>
      </c>
      <c r="E9" s="159">
        <v>0.0295</v>
      </c>
      <c r="F9" s="160">
        <f t="shared" si="1"/>
        <v>33.89830508</v>
      </c>
      <c r="G9" s="161">
        <v>45536.0</v>
      </c>
      <c r="H9" s="158" t="s">
        <v>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8.75"/>
    <col customWidth="1" min="3" max="3" width="17.5"/>
    <col customWidth="1" min="4" max="4" width="20.13"/>
    <col customWidth="1" min="5" max="5" width="14.38"/>
    <col customWidth="1" min="6" max="26" width="8.63"/>
  </cols>
  <sheetData>
    <row r="1" ht="24.0" customHeight="1">
      <c r="A1" s="128" t="s">
        <v>155</v>
      </c>
      <c r="B1" s="113" t="s">
        <v>194</v>
      </c>
      <c r="C1" s="162" t="s">
        <v>334</v>
      </c>
      <c r="D1" s="162" t="s">
        <v>335</v>
      </c>
      <c r="E1" s="114" t="s">
        <v>336</v>
      </c>
    </row>
    <row r="2" ht="21.0" customHeight="1">
      <c r="A2" s="163">
        <v>7.84231905E8</v>
      </c>
      <c r="B2" s="164" t="s">
        <v>28</v>
      </c>
      <c r="C2" s="165">
        <v>3500.0</v>
      </c>
      <c r="D2" s="165">
        <v>500.0</v>
      </c>
      <c r="E2" s="166">
        <f t="shared" ref="E2:E10" si="1">C2-D2</f>
        <v>3000</v>
      </c>
    </row>
    <row r="3" ht="21.0" customHeight="1">
      <c r="A3" s="163">
        <v>6.15902374E8</v>
      </c>
      <c r="B3" s="164" t="s">
        <v>24</v>
      </c>
      <c r="C3" s="165">
        <v>50000.0</v>
      </c>
      <c r="D3" s="165">
        <v>17000.0</v>
      </c>
      <c r="E3" s="166">
        <f t="shared" si="1"/>
        <v>33000</v>
      </c>
    </row>
    <row r="4" ht="21.0" customHeight="1">
      <c r="A4" s="163">
        <v>9.03174628E8</v>
      </c>
      <c r="B4" s="164" t="s">
        <v>24</v>
      </c>
      <c r="C4" s="165">
        <v>1000.0</v>
      </c>
      <c r="D4" s="165">
        <v>450.0</v>
      </c>
      <c r="E4" s="166">
        <f t="shared" si="1"/>
        <v>550</v>
      </c>
    </row>
    <row r="5" ht="21.0" customHeight="1">
      <c r="A5" s="163">
        <v>5.28406193E8</v>
      </c>
      <c r="B5" s="164" t="s">
        <v>31</v>
      </c>
      <c r="C5" s="165">
        <v>3000.0</v>
      </c>
      <c r="D5" s="165">
        <v>2000.0</v>
      </c>
      <c r="E5" s="166">
        <f t="shared" si="1"/>
        <v>1000</v>
      </c>
    </row>
    <row r="6" ht="21.0" customHeight="1">
      <c r="A6" s="163">
        <v>8.46219537E8</v>
      </c>
      <c r="B6" s="164" t="s">
        <v>28</v>
      </c>
      <c r="C6" s="165">
        <v>6000.0</v>
      </c>
      <c r="D6" s="165">
        <v>0.0</v>
      </c>
      <c r="E6" s="166">
        <f t="shared" si="1"/>
        <v>6000</v>
      </c>
    </row>
    <row r="7" ht="21.0" customHeight="1">
      <c r="A7" s="163">
        <v>6.92481305E8</v>
      </c>
      <c r="B7" s="164" t="s">
        <v>24</v>
      </c>
      <c r="C7" s="165">
        <v>25000.0</v>
      </c>
      <c r="D7" s="165">
        <v>10000.0</v>
      </c>
      <c r="E7" s="166">
        <f t="shared" si="1"/>
        <v>15000</v>
      </c>
    </row>
    <row r="8" ht="21.0" customHeight="1">
      <c r="A8" s="167">
        <v>4.38750921E8</v>
      </c>
      <c r="B8" s="168" t="s">
        <v>34</v>
      </c>
      <c r="C8" s="165">
        <v>2500.0</v>
      </c>
      <c r="D8" s="165">
        <v>2500.0</v>
      </c>
      <c r="E8" s="166">
        <f t="shared" si="1"/>
        <v>0</v>
      </c>
    </row>
    <row r="9" ht="21.0" customHeight="1">
      <c r="A9" s="167">
        <v>3.19582046E8</v>
      </c>
      <c r="B9" s="168" t="s">
        <v>37</v>
      </c>
      <c r="C9" s="165">
        <v>15000.0</v>
      </c>
      <c r="D9" s="165">
        <v>6000.0</v>
      </c>
      <c r="E9" s="166">
        <f t="shared" si="1"/>
        <v>9000</v>
      </c>
    </row>
    <row r="10" ht="21.0" customHeight="1">
      <c r="A10" s="169">
        <v>5.02847193E8</v>
      </c>
      <c r="B10" s="170" t="s">
        <v>24</v>
      </c>
      <c r="C10" s="171">
        <v>0.0</v>
      </c>
      <c r="D10" s="171">
        <v>820.0</v>
      </c>
      <c r="E10" s="172">
        <f t="shared" si="1"/>
        <v>-820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9.5"/>
    <col customWidth="1" min="3" max="3" width="15.38"/>
    <col customWidth="1" min="4" max="4" width="20.63"/>
    <col customWidth="1" min="5" max="5" width="21.25"/>
    <col customWidth="1" min="6" max="6" width="15.63"/>
    <col customWidth="1" min="7" max="26" width="8.63"/>
  </cols>
  <sheetData>
    <row r="1" ht="24.0" customHeight="1">
      <c r="A1" s="128" t="s">
        <v>155</v>
      </c>
      <c r="B1" s="113" t="s">
        <v>233</v>
      </c>
      <c r="C1" s="113" t="s">
        <v>234</v>
      </c>
      <c r="D1" s="113" t="s">
        <v>334</v>
      </c>
      <c r="E1" s="113" t="s">
        <v>335</v>
      </c>
      <c r="F1" s="129" t="s">
        <v>336</v>
      </c>
    </row>
    <row r="2" ht="21.0" customHeight="1">
      <c r="A2" s="163">
        <v>7.84231905E8</v>
      </c>
      <c r="B2" s="164" t="s">
        <v>40</v>
      </c>
      <c r="C2" s="164" t="s">
        <v>38</v>
      </c>
      <c r="D2" s="173">
        <v>1500.0</v>
      </c>
      <c r="E2" s="173">
        <v>500.0</v>
      </c>
      <c r="F2" s="174">
        <f t="shared" ref="F2:F15" si="1">D2-E2</f>
        <v>1000</v>
      </c>
    </row>
    <row r="3" ht="21.0" customHeight="1">
      <c r="A3" s="163">
        <v>7.84231905E8</v>
      </c>
      <c r="B3" s="164" t="s">
        <v>48</v>
      </c>
      <c r="C3" s="164" t="s">
        <v>42</v>
      </c>
      <c r="D3" s="173">
        <v>0.2</v>
      </c>
      <c r="E3" s="173">
        <v>0.0</v>
      </c>
      <c r="F3" s="174">
        <f t="shared" si="1"/>
        <v>0.2</v>
      </c>
    </row>
    <row r="4" ht="21.0" customHeight="1">
      <c r="A4" s="163">
        <v>6.15902374E8</v>
      </c>
      <c r="B4" s="164" t="s">
        <v>44</v>
      </c>
      <c r="C4" s="164" t="s">
        <v>248</v>
      </c>
      <c r="D4" s="173">
        <v>0.05</v>
      </c>
      <c r="E4" s="173">
        <v>0.02</v>
      </c>
      <c r="F4" s="174">
        <f t="shared" si="1"/>
        <v>0.03</v>
      </c>
    </row>
    <row r="5" ht="21.0" customHeight="1">
      <c r="A5" s="163">
        <v>6.15902374E8</v>
      </c>
      <c r="B5" s="164" t="s">
        <v>40</v>
      </c>
      <c r="C5" s="164" t="s">
        <v>45</v>
      </c>
      <c r="D5" s="173">
        <v>600.0</v>
      </c>
      <c r="E5" s="173">
        <v>0.0</v>
      </c>
      <c r="F5" s="174">
        <f t="shared" si="1"/>
        <v>600</v>
      </c>
    </row>
    <row r="6" ht="21.0" customHeight="1">
      <c r="A6" s="163">
        <v>9.03174628E8</v>
      </c>
      <c r="B6" s="164" t="s">
        <v>40</v>
      </c>
      <c r="C6" s="164" t="s">
        <v>49</v>
      </c>
      <c r="D6" s="173">
        <v>400.0</v>
      </c>
      <c r="E6" s="173">
        <v>0.0</v>
      </c>
      <c r="F6" s="174">
        <f t="shared" si="1"/>
        <v>400</v>
      </c>
    </row>
    <row r="7" ht="21.0" customHeight="1">
      <c r="A7" s="163">
        <v>9.03174628E8</v>
      </c>
      <c r="B7" s="164" t="s">
        <v>40</v>
      </c>
      <c r="C7" s="164" t="s">
        <v>45</v>
      </c>
      <c r="D7" s="173">
        <v>0.0</v>
      </c>
      <c r="E7" s="173">
        <v>300.0</v>
      </c>
      <c r="F7" s="174">
        <f t="shared" si="1"/>
        <v>-300</v>
      </c>
    </row>
    <row r="8" ht="21.0" customHeight="1">
      <c r="A8" s="167">
        <v>5.28406193E8</v>
      </c>
      <c r="B8" s="168" t="s">
        <v>40</v>
      </c>
      <c r="C8" s="168" t="s">
        <v>42</v>
      </c>
      <c r="D8" s="175">
        <v>0.0</v>
      </c>
      <c r="E8" s="175">
        <v>1500.0</v>
      </c>
      <c r="F8" s="176">
        <f t="shared" si="1"/>
        <v>-1500</v>
      </c>
    </row>
    <row r="9" ht="21.0" customHeight="1">
      <c r="A9" s="167">
        <v>5.28406193E8</v>
      </c>
      <c r="B9" s="168" t="s">
        <v>40</v>
      </c>
      <c r="C9" s="168" t="s">
        <v>38</v>
      </c>
      <c r="D9" s="175">
        <v>700.0</v>
      </c>
      <c r="E9" s="175">
        <v>300.0</v>
      </c>
      <c r="F9" s="176">
        <f t="shared" si="1"/>
        <v>400</v>
      </c>
    </row>
    <row r="10" ht="21.0" customHeight="1">
      <c r="A10" s="167">
        <v>8.46219537E8</v>
      </c>
      <c r="B10" s="168" t="s">
        <v>48</v>
      </c>
      <c r="C10" s="168" t="s">
        <v>42</v>
      </c>
      <c r="D10" s="175">
        <v>0.4</v>
      </c>
      <c r="E10" s="175">
        <v>0.1</v>
      </c>
      <c r="F10" s="176">
        <f t="shared" si="1"/>
        <v>0.3</v>
      </c>
    </row>
    <row r="11" ht="21.0" customHeight="1">
      <c r="A11" s="167">
        <v>8.46219537E8</v>
      </c>
      <c r="B11" s="168" t="s">
        <v>40</v>
      </c>
      <c r="C11" s="168" t="s">
        <v>38</v>
      </c>
      <c r="D11" s="175">
        <v>1000.0</v>
      </c>
      <c r="E11" s="175">
        <v>0.0</v>
      </c>
      <c r="F11" s="176">
        <f t="shared" si="1"/>
        <v>1000</v>
      </c>
    </row>
    <row r="12" ht="21.0" customHeight="1">
      <c r="A12" s="167">
        <v>6.92481305E8</v>
      </c>
      <c r="B12" s="168" t="s">
        <v>40</v>
      </c>
      <c r="C12" s="168" t="s">
        <v>38</v>
      </c>
      <c r="D12" s="175">
        <v>2000.0</v>
      </c>
      <c r="E12" s="175">
        <v>600.0</v>
      </c>
      <c r="F12" s="176">
        <f t="shared" si="1"/>
        <v>1400</v>
      </c>
    </row>
    <row r="13" ht="21.0" customHeight="1">
      <c r="A13" s="167">
        <v>6.92481305E8</v>
      </c>
      <c r="B13" s="168" t="s">
        <v>44</v>
      </c>
      <c r="C13" s="168" t="s">
        <v>248</v>
      </c>
      <c r="D13" s="175">
        <v>0.03</v>
      </c>
      <c r="E13" s="175">
        <v>0.0</v>
      </c>
      <c r="F13" s="176">
        <f t="shared" si="1"/>
        <v>0.03</v>
      </c>
    </row>
    <row r="14" ht="21.0" customHeight="1">
      <c r="A14" s="167">
        <v>4.38750921E8</v>
      </c>
      <c r="B14" s="168" t="s">
        <v>40</v>
      </c>
      <c r="C14" s="168" t="s">
        <v>38</v>
      </c>
      <c r="D14" s="175">
        <v>1800.0</v>
      </c>
      <c r="E14" s="175">
        <v>1800.0</v>
      </c>
      <c r="F14" s="176">
        <f t="shared" si="1"/>
        <v>0</v>
      </c>
    </row>
    <row r="15" ht="21.0" customHeight="1">
      <c r="A15" s="169">
        <v>3.19582046E8</v>
      </c>
      <c r="B15" s="170" t="s">
        <v>44</v>
      </c>
      <c r="C15" s="170" t="s">
        <v>248</v>
      </c>
      <c r="D15" s="177">
        <v>0.001</v>
      </c>
      <c r="E15" s="177">
        <v>0.0</v>
      </c>
      <c r="F15" s="178">
        <f t="shared" si="1"/>
        <v>0.001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5.25"/>
    <col customWidth="1" min="3" max="3" width="14.5"/>
    <col customWidth="1" min="4" max="4" width="14.13"/>
    <col customWidth="1" min="5" max="5" width="12.5"/>
    <col customWidth="1" min="6" max="6" width="10.38"/>
    <col customWidth="1" min="7" max="7" width="37.0"/>
    <col customWidth="1" min="8" max="8" width="9.75"/>
    <col customWidth="1" min="9" max="9" width="56.13"/>
  </cols>
  <sheetData>
    <row r="1">
      <c r="A1" s="179" t="s">
        <v>337</v>
      </c>
      <c r="B1" s="180" t="s">
        <v>338</v>
      </c>
      <c r="C1" s="180" t="s">
        <v>339</v>
      </c>
      <c r="D1" s="180" t="s">
        <v>340</v>
      </c>
      <c r="E1" s="180" t="s">
        <v>341</v>
      </c>
      <c r="F1" s="180" t="s">
        <v>342</v>
      </c>
      <c r="G1" s="180" t="s">
        <v>343</v>
      </c>
      <c r="H1" s="180" t="s">
        <v>344</v>
      </c>
      <c r="I1" s="181" t="s">
        <v>345</v>
      </c>
    </row>
    <row r="2">
      <c r="A2" s="182" t="s">
        <v>346</v>
      </c>
      <c r="B2" s="183" t="s">
        <v>347</v>
      </c>
      <c r="C2" s="183" t="s">
        <v>155</v>
      </c>
      <c r="D2" s="183" t="s">
        <v>348</v>
      </c>
      <c r="E2" s="184" t="s">
        <v>349</v>
      </c>
      <c r="F2" s="184" t="s">
        <v>350</v>
      </c>
      <c r="G2" s="185" t="s">
        <v>351</v>
      </c>
      <c r="H2" s="184" t="s">
        <v>352</v>
      </c>
      <c r="I2" s="186" t="s">
        <v>353</v>
      </c>
    </row>
    <row r="3">
      <c r="A3" s="182" t="s">
        <v>354</v>
      </c>
      <c r="B3" s="183" t="s">
        <v>347</v>
      </c>
      <c r="C3" s="183" t="s">
        <v>156</v>
      </c>
      <c r="D3" s="183" t="s">
        <v>355</v>
      </c>
      <c r="E3" s="184" t="s">
        <v>349</v>
      </c>
      <c r="F3" s="184" t="s">
        <v>349</v>
      </c>
      <c r="G3" s="185" t="s">
        <v>356</v>
      </c>
      <c r="H3" s="184" t="s">
        <v>357</v>
      </c>
      <c r="I3" s="186" t="s">
        <v>358</v>
      </c>
    </row>
    <row r="4">
      <c r="A4" s="182" t="s">
        <v>359</v>
      </c>
      <c r="B4" s="183" t="s">
        <v>347</v>
      </c>
      <c r="C4" s="183" t="s">
        <v>157</v>
      </c>
      <c r="D4" s="183" t="s">
        <v>360</v>
      </c>
      <c r="E4" s="184" t="s">
        <v>349</v>
      </c>
      <c r="F4" s="184" t="s">
        <v>349</v>
      </c>
      <c r="G4" s="185" t="s">
        <v>361</v>
      </c>
      <c r="H4" s="184" t="s">
        <v>357</v>
      </c>
      <c r="I4" s="186" t="s">
        <v>362</v>
      </c>
    </row>
    <row r="5">
      <c r="A5" s="182" t="s">
        <v>363</v>
      </c>
      <c r="B5" s="183" t="s">
        <v>347</v>
      </c>
      <c r="C5" s="183" t="s">
        <v>158</v>
      </c>
      <c r="D5" s="183" t="s">
        <v>364</v>
      </c>
      <c r="E5" s="184" t="s">
        <v>349</v>
      </c>
      <c r="F5" s="184" t="s">
        <v>349</v>
      </c>
      <c r="G5" s="185" t="s">
        <v>365</v>
      </c>
      <c r="H5" s="184" t="s">
        <v>357</v>
      </c>
      <c r="I5" s="186" t="s">
        <v>366</v>
      </c>
    </row>
    <row r="6">
      <c r="A6" s="182" t="s">
        <v>367</v>
      </c>
      <c r="B6" s="184" t="s">
        <v>347</v>
      </c>
      <c r="C6" s="184" t="s">
        <v>159</v>
      </c>
      <c r="D6" s="184" t="s">
        <v>368</v>
      </c>
      <c r="E6" s="184" t="s">
        <v>349</v>
      </c>
      <c r="F6" s="184" t="s">
        <v>349</v>
      </c>
      <c r="G6" s="185" t="s">
        <v>369</v>
      </c>
      <c r="H6" s="184" t="s">
        <v>357</v>
      </c>
      <c r="I6" s="186" t="s">
        <v>370</v>
      </c>
    </row>
    <row r="7">
      <c r="A7" s="182" t="s">
        <v>371</v>
      </c>
      <c r="B7" s="184" t="s">
        <v>347</v>
      </c>
      <c r="C7" s="184" t="s">
        <v>160</v>
      </c>
      <c r="D7" s="184" t="s">
        <v>355</v>
      </c>
      <c r="E7" s="184" t="s">
        <v>349</v>
      </c>
      <c r="F7" s="184" t="s">
        <v>349</v>
      </c>
      <c r="G7" s="185" t="s">
        <v>372</v>
      </c>
      <c r="H7" s="184" t="s">
        <v>357</v>
      </c>
      <c r="I7" s="186" t="s">
        <v>373</v>
      </c>
    </row>
    <row r="8">
      <c r="A8" s="182" t="s">
        <v>374</v>
      </c>
      <c r="B8" s="184" t="s">
        <v>347</v>
      </c>
      <c r="C8" s="184" t="s">
        <v>161</v>
      </c>
      <c r="D8" s="184" t="s">
        <v>375</v>
      </c>
      <c r="E8" s="184" t="s">
        <v>349</v>
      </c>
      <c r="F8" s="184" t="s">
        <v>349</v>
      </c>
      <c r="G8" s="185" t="s">
        <v>376</v>
      </c>
      <c r="H8" s="184" t="s">
        <v>357</v>
      </c>
      <c r="I8" s="186" t="s">
        <v>377</v>
      </c>
    </row>
    <row r="9">
      <c r="A9" s="182" t="s">
        <v>378</v>
      </c>
      <c r="B9" s="184" t="s">
        <v>379</v>
      </c>
      <c r="C9" s="184" t="s">
        <v>192</v>
      </c>
      <c r="D9" s="184" t="s">
        <v>355</v>
      </c>
      <c r="E9" s="184" t="s">
        <v>349</v>
      </c>
      <c r="F9" s="184" t="s">
        <v>350</v>
      </c>
      <c r="G9" s="185" t="s">
        <v>380</v>
      </c>
      <c r="H9" s="184" t="s">
        <v>352</v>
      </c>
      <c r="I9" s="186" t="s">
        <v>381</v>
      </c>
    </row>
    <row r="10">
      <c r="A10" s="182" t="s">
        <v>382</v>
      </c>
      <c r="B10" s="184" t="s">
        <v>379</v>
      </c>
      <c r="C10" s="184" t="s">
        <v>155</v>
      </c>
      <c r="D10" s="184" t="s">
        <v>348</v>
      </c>
      <c r="E10" s="184" t="s">
        <v>349</v>
      </c>
      <c r="F10" s="184" t="s">
        <v>349</v>
      </c>
      <c r="G10" s="185" t="s">
        <v>351</v>
      </c>
      <c r="H10" s="184" t="s">
        <v>383</v>
      </c>
      <c r="I10" s="186" t="s">
        <v>384</v>
      </c>
    </row>
    <row r="11">
      <c r="A11" s="182" t="s">
        <v>385</v>
      </c>
      <c r="B11" s="184" t="s">
        <v>379</v>
      </c>
      <c r="C11" s="184" t="s">
        <v>193</v>
      </c>
      <c r="D11" s="184" t="s">
        <v>355</v>
      </c>
      <c r="E11" s="184" t="s">
        <v>349</v>
      </c>
      <c r="F11" s="184" t="s">
        <v>349</v>
      </c>
      <c r="G11" s="185" t="s">
        <v>386</v>
      </c>
      <c r="H11" s="184" t="s">
        <v>357</v>
      </c>
      <c r="I11" s="186" t="s">
        <v>387</v>
      </c>
    </row>
    <row r="12">
      <c r="A12" s="182" t="s">
        <v>388</v>
      </c>
      <c r="B12" s="184" t="s">
        <v>379</v>
      </c>
      <c r="C12" s="184" t="s">
        <v>194</v>
      </c>
      <c r="D12" s="184" t="s">
        <v>364</v>
      </c>
      <c r="E12" s="184" t="s">
        <v>349</v>
      </c>
      <c r="F12" s="184" t="s">
        <v>349</v>
      </c>
      <c r="G12" s="185" t="s">
        <v>365</v>
      </c>
      <c r="H12" s="184" t="s">
        <v>357</v>
      </c>
      <c r="I12" s="186" t="s">
        <v>389</v>
      </c>
    </row>
    <row r="13">
      <c r="A13" s="182" t="s">
        <v>390</v>
      </c>
      <c r="B13" s="184" t="s">
        <v>379</v>
      </c>
      <c r="C13" s="184" t="s">
        <v>195</v>
      </c>
      <c r="D13" s="184" t="s">
        <v>391</v>
      </c>
      <c r="E13" s="184" t="s">
        <v>349</v>
      </c>
      <c r="F13" s="184" t="s">
        <v>349</v>
      </c>
      <c r="G13" s="185" t="s">
        <v>392</v>
      </c>
      <c r="H13" s="184" t="s">
        <v>357</v>
      </c>
      <c r="I13" s="186" t="s">
        <v>393</v>
      </c>
    </row>
    <row r="14">
      <c r="A14" s="182" t="s">
        <v>394</v>
      </c>
      <c r="B14" s="184" t="s">
        <v>379</v>
      </c>
      <c r="C14" s="184" t="s">
        <v>196</v>
      </c>
      <c r="D14" s="184" t="s">
        <v>391</v>
      </c>
      <c r="E14" s="184" t="s">
        <v>349</v>
      </c>
      <c r="F14" s="184" t="s">
        <v>349</v>
      </c>
      <c r="G14" s="185" t="s">
        <v>395</v>
      </c>
      <c r="H14" s="184" t="s">
        <v>357</v>
      </c>
      <c r="I14" s="186" t="s">
        <v>396</v>
      </c>
    </row>
    <row r="15">
      <c r="A15" s="182" t="s">
        <v>397</v>
      </c>
      <c r="B15" s="184" t="s">
        <v>379</v>
      </c>
      <c r="C15" s="184" t="s">
        <v>197</v>
      </c>
      <c r="D15" s="184" t="s">
        <v>355</v>
      </c>
      <c r="E15" s="184" t="s">
        <v>349</v>
      </c>
      <c r="F15" s="184" t="s">
        <v>349</v>
      </c>
      <c r="G15" s="185" t="s">
        <v>398</v>
      </c>
      <c r="H15" s="184" t="s">
        <v>357</v>
      </c>
      <c r="I15" s="186" t="s">
        <v>399</v>
      </c>
    </row>
    <row r="16">
      <c r="A16" s="182" t="s">
        <v>400</v>
      </c>
      <c r="B16" s="184" t="s">
        <v>379</v>
      </c>
      <c r="C16" s="184" t="s">
        <v>198</v>
      </c>
      <c r="D16" s="184" t="s">
        <v>355</v>
      </c>
      <c r="E16" s="184" t="s">
        <v>349</v>
      </c>
      <c r="F16" s="184" t="s">
        <v>349</v>
      </c>
      <c r="G16" s="185" t="s">
        <v>401</v>
      </c>
      <c r="H16" s="184" t="s">
        <v>357</v>
      </c>
      <c r="I16" s="186" t="s">
        <v>402</v>
      </c>
    </row>
    <row r="17">
      <c r="A17" s="182" t="s">
        <v>403</v>
      </c>
      <c r="B17" s="184" t="s">
        <v>379</v>
      </c>
      <c r="C17" s="184" t="s">
        <v>161</v>
      </c>
      <c r="D17" s="184" t="s">
        <v>375</v>
      </c>
      <c r="E17" s="184" t="s">
        <v>349</v>
      </c>
      <c r="F17" s="184" t="s">
        <v>349</v>
      </c>
      <c r="G17" s="185" t="s">
        <v>376</v>
      </c>
      <c r="H17" s="184" t="s">
        <v>357</v>
      </c>
      <c r="I17" s="186" t="s">
        <v>404</v>
      </c>
    </row>
    <row r="18">
      <c r="A18" s="182" t="s">
        <v>405</v>
      </c>
      <c r="B18" s="184" t="s">
        <v>379</v>
      </c>
      <c r="C18" s="184" t="s">
        <v>199</v>
      </c>
      <c r="D18" s="184" t="s">
        <v>375</v>
      </c>
      <c r="E18" s="184" t="s">
        <v>350</v>
      </c>
      <c r="F18" s="184" t="s">
        <v>349</v>
      </c>
      <c r="G18" s="185" t="s">
        <v>406</v>
      </c>
      <c r="H18" s="184" t="s">
        <v>357</v>
      </c>
      <c r="I18" s="186" t="s">
        <v>407</v>
      </c>
    </row>
    <row r="19">
      <c r="A19" s="182" t="s">
        <v>408</v>
      </c>
      <c r="B19" s="184" t="s">
        <v>409</v>
      </c>
      <c r="C19" s="184" t="s">
        <v>232</v>
      </c>
      <c r="D19" s="184" t="s">
        <v>355</v>
      </c>
      <c r="E19" s="184" t="s">
        <v>349</v>
      </c>
      <c r="F19" s="184" t="s">
        <v>350</v>
      </c>
      <c r="G19" s="185" t="s">
        <v>410</v>
      </c>
      <c r="H19" s="184" t="s">
        <v>352</v>
      </c>
      <c r="I19" s="186" t="s">
        <v>411</v>
      </c>
    </row>
    <row r="20">
      <c r="A20" s="182" t="s">
        <v>412</v>
      </c>
      <c r="B20" s="184" t="s">
        <v>409</v>
      </c>
      <c r="C20" s="184" t="s">
        <v>155</v>
      </c>
      <c r="D20" s="184" t="s">
        <v>348</v>
      </c>
      <c r="E20" s="184" t="s">
        <v>349</v>
      </c>
      <c r="F20" s="184" t="s">
        <v>349</v>
      </c>
      <c r="G20" s="185" t="s">
        <v>351</v>
      </c>
      <c r="H20" s="184" t="s">
        <v>383</v>
      </c>
      <c r="I20" s="186" t="s">
        <v>384</v>
      </c>
    </row>
    <row r="21">
      <c r="A21" s="182" t="s">
        <v>413</v>
      </c>
      <c r="B21" s="184" t="s">
        <v>409</v>
      </c>
      <c r="C21" s="184" t="s">
        <v>193</v>
      </c>
      <c r="D21" s="184" t="s">
        <v>355</v>
      </c>
      <c r="E21" s="184" t="s">
        <v>349</v>
      </c>
      <c r="F21" s="184" t="s">
        <v>349</v>
      </c>
      <c r="G21" s="185" t="s">
        <v>386</v>
      </c>
      <c r="H21" s="184" t="s">
        <v>357</v>
      </c>
      <c r="I21" s="186" t="s">
        <v>414</v>
      </c>
    </row>
    <row r="22">
      <c r="A22" s="182" t="s">
        <v>415</v>
      </c>
      <c r="B22" s="184" t="s">
        <v>409</v>
      </c>
      <c r="C22" s="184" t="s">
        <v>233</v>
      </c>
      <c r="D22" s="184" t="s">
        <v>355</v>
      </c>
      <c r="E22" s="184" t="s">
        <v>349</v>
      </c>
      <c r="F22" s="184" t="s">
        <v>349</v>
      </c>
      <c r="G22" s="185" t="s">
        <v>416</v>
      </c>
      <c r="H22" s="184" t="s">
        <v>357</v>
      </c>
      <c r="I22" s="186" t="s">
        <v>417</v>
      </c>
    </row>
    <row r="23">
      <c r="A23" s="182" t="s">
        <v>418</v>
      </c>
      <c r="B23" s="184" t="s">
        <v>409</v>
      </c>
      <c r="C23" s="184" t="s">
        <v>234</v>
      </c>
      <c r="D23" s="184" t="s">
        <v>355</v>
      </c>
      <c r="E23" s="184" t="s">
        <v>349</v>
      </c>
      <c r="F23" s="184" t="s">
        <v>349</v>
      </c>
      <c r="G23" s="185" t="s">
        <v>419</v>
      </c>
      <c r="H23" s="184" t="s">
        <v>357</v>
      </c>
      <c r="I23" s="186" t="s">
        <v>420</v>
      </c>
    </row>
    <row r="24">
      <c r="A24" s="182" t="s">
        <v>421</v>
      </c>
      <c r="B24" s="184" t="s">
        <v>409</v>
      </c>
      <c r="C24" s="184" t="s">
        <v>195</v>
      </c>
      <c r="D24" s="184" t="s">
        <v>422</v>
      </c>
      <c r="E24" s="184" t="s">
        <v>349</v>
      </c>
      <c r="F24" s="184" t="s">
        <v>349</v>
      </c>
      <c r="G24" s="185" t="s">
        <v>392</v>
      </c>
      <c r="H24" s="184" t="s">
        <v>357</v>
      </c>
      <c r="I24" s="186" t="s">
        <v>423</v>
      </c>
    </row>
    <row r="25">
      <c r="A25" s="182" t="s">
        <v>424</v>
      </c>
      <c r="B25" s="184" t="s">
        <v>409</v>
      </c>
      <c r="C25" s="184" t="s">
        <v>196</v>
      </c>
      <c r="D25" s="184" t="s">
        <v>422</v>
      </c>
      <c r="E25" s="184" t="s">
        <v>349</v>
      </c>
      <c r="F25" s="184" t="s">
        <v>349</v>
      </c>
      <c r="G25" s="185" t="s">
        <v>395</v>
      </c>
      <c r="H25" s="184" t="s">
        <v>357</v>
      </c>
      <c r="I25" s="186" t="s">
        <v>425</v>
      </c>
    </row>
    <row r="26">
      <c r="A26" s="182" t="s">
        <v>426</v>
      </c>
      <c r="B26" s="184" t="s">
        <v>409</v>
      </c>
      <c r="C26" s="184" t="s">
        <v>235</v>
      </c>
      <c r="D26" s="184" t="s">
        <v>355</v>
      </c>
      <c r="E26" s="184" t="s">
        <v>350</v>
      </c>
      <c r="F26" s="184" t="s">
        <v>349</v>
      </c>
      <c r="G26" s="185" t="s">
        <v>427</v>
      </c>
      <c r="H26" s="184" t="s">
        <v>357</v>
      </c>
      <c r="I26" s="186" t="s">
        <v>428</v>
      </c>
    </row>
    <row r="27">
      <c r="A27" s="182" t="s">
        <v>429</v>
      </c>
      <c r="B27" s="184" t="s">
        <v>409</v>
      </c>
      <c r="C27" s="184" t="s">
        <v>236</v>
      </c>
      <c r="D27" s="184" t="s">
        <v>355</v>
      </c>
      <c r="E27" s="184" t="s">
        <v>349</v>
      </c>
      <c r="F27" s="184" t="s">
        <v>349</v>
      </c>
      <c r="G27" s="185" t="s">
        <v>430</v>
      </c>
      <c r="H27" s="184" t="s">
        <v>357</v>
      </c>
      <c r="I27" s="186" t="s">
        <v>431</v>
      </c>
    </row>
    <row r="28">
      <c r="A28" s="187" t="s">
        <v>432</v>
      </c>
      <c r="B28" s="188" t="s">
        <v>409</v>
      </c>
      <c r="C28" s="188" t="s">
        <v>198</v>
      </c>
      <c r="D28" s="188" t="s">
        <v>355</v>
      </c>
      <c r="E28" s="188" t="s">
        <v>349</v>
      </c>
      <c r="F28" s="188" t="s">
        <v>349</v>
      </c>
      <c r="G28" s="189" t="s">
        <v>433</v>
      </c>
      <c r="H28" s="188" t="s">
        <v>357</v>
      </c>
      <c r="I28" s="190" t="s">
        <v>434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0.13"/>
    <col customWidth="1" min="3" max="3" width="21.38"/>
    <col customWidth="1" min="4" max="4" width="42.63"/>
    <col customWidth="1" min="5" max="5" width="11.38"/>
    <col customWidth="1" min="6" max="6" width="13.88"/>
    <col customWidth="1" min="7" max="7" width="12.63"/>
    <col customWidth="1" min="8" max="8" width="110.0"/>
  </cols>
  <sheetData>
    <row r="1">
      <c r="A1" s="179" t="s">
        <v>435</v>
      </c>
      <c r="B1" s="180" t="s">
        <v>436</v>
      </c>
      <c r="C1" s="180" t="s">
        <v>338</v>
      </c>
      <c r="D1" s="180" t="s">
        <v>437</v>
      </c>
      <c r="E1" s="180" t="s">
        <v>438</v>
      </c>
      <c r="F1" s="180" t="s">
        <v>439</v>
      </c>
      <c r="G1" s="180" t="s">
        <v>440</v>
      </c>
      <c r="H1" s="181" t="s">
        <v>441</v>
      </c>
    </row>
    <row r="2">
      <c r="A2" s="191" t="s">
        <v>442</v>
      </c>
      <c r="B2" s="192" t="s">
        <v>443</v>
      </c>
      <c r="C2" s="192" t="s">
        <v>347</v>
      </c>
      <c r="D2" s="193" t="s">
        <v>444</v>
      </c>
      <c r="E2" s="194" t="s">
        <v>445</v>
      </c>
      <c r="F2" s="195">
        <v>0.0</v>
      </c>
      <c r="G2" s="196" t="s">
        <v>446</v>
      </c>
      <c r="H2" s="197" t="s">
        <v>447</v>
      </c>
    </row>
    <row r="3">
      <c r="A3" s="191" t="s">
        <v>448</v>
      </c>
      <c r="B3" s="192" t="s">
        <v>443</v>
      </c>
      <c r="C3" s="192" t="s">
        <v>379</v>
      </c>
      <c r="D3" s="193" t="s">
        <v>444</v>
      </c>
      <c r="E3" s="194" t="s">
        <v>445</v>
      </c>
      <c r="F3" s="195">
        <v>0.0</v>
      </c>
      <c r="G3" s="196" t="s">
        <v>446</v>
      </c>
      <c r="H3" s="197" t="s">
        <v>449</v>
      </c>
    </row>
    <row r="4">
      <c r="A4" s="191" t="s">
        <v>450</v>
      </c>
      <c r="B4" s="192" t="s">
        <v>443</v>
      </c>
      <c r="C4" s="192" t="s">
        <v>409</v>
      </c>
      <c r="D4" s="193" t="s">
        <v>444</v>
      </c>
      <c r="E4" s="194" t="s">
        <v>445</v>
      </c>
      <c r="F4" s="195">
        <v>0.0</v>
      </c>
      <c r="G4" s="196" t="s">
        <v>446</v>
      </c>
      <c r="H4" s="197" t="s">
        <v>451</v>
      </c>
    </row>
    <row r="5">
      <c r="A5" s="191" t="s">
        <v>452</v>
      </c>
      <c r="B5" s="192" t="s">
        <v>453</v>
      </c>
      <c r="C5" s="192" t="s">
        <v>347</v>
      </c>
      <c r="D5" s="193" t="s">
        <v>454</v>
      </c>
      <c r="E5" s="194" t="s">
        <v>445</v>
      </c>
      <c r="F5" s="195">
        <v>0.0</v>
      </c>
      <c r="G5" s="196" t="s">
        <v>455</v>
      </c>
      <c r="H5" s="197" t="s">
        <v>456</v>
      </c>
    </row>
    <row r="6">
      <c r="A6" s="191" t="s">
        <v>457</v>
      </c>
      <c r="B6" s="192" t="s">
        <v>453</v>
      </c>
      <c r="C6" s="192" t="s">
        <v>379</v>
      </c>
      <c r="D6" s="193" t="s">
        <v>454</v>
      </c>
      <c r="E6" s="194" t="s">
        <v>445</v>
      </c>
      <c r="F6" s="195">
        <v>0.0</v>
      </c>
      <c r="G6" s="196" t="s">
        <v>455</v>
      </c>
      <c r="H6" s="197" t="s">
        <v>458</v>
      </c>
    </row>
    <row r="7">
      <c r="A7" s="191" t="s">
        <v>459</v>
      </c>
      <c r="B7" s="192" t="s">
        <v>453</v>
      </c>
      <c r="C7" s="192" t="s">
        <v>409</v>
      </c>
      <c r="D7" s="193" t="s">
        <v>454</v>
      </c>
      <c r="E7" s="194" t="s">
        <v>445</v>
      </c>
      <c r="F7" s="195">
        <v>0.0</v>
      </c>
      <c r="G7" s="196" t="s">
        <v>455</v>
      </c>
      <c r="H7" s="197" t="s">
        <v>460</v>
      </c>
    </row>
    <row r="8">
      <c r="A8" s="191" t="s">
        <v>461</v>
      </c>
      <c r="B8" s="192" t="s">
        <v>462</v>
      </c>
      <c r="C8" s="192" t="s">
        <v>347</v>
      </c>
      <c r="D8" s="193" t="s">
        <v>463</v>
      </c>
      <c r="E8" s="194" t="s">
        <v>445</v>
      </c>
      <c r="F8" s="195">
        <v>0.0</v>
      </c>
      <c r="G8" s="196" t="s">
        <v>455</v>
      </c>
      <c r="H8" s="197" t="s">
        <v>464</v>
      </c>
    </row>
    <row r="9">
      <c r="A9" s="191" t="s">
        <v>465</v>
      </c>
      <c r="B9" s="192" t="s">
        <v>462</v>
      </c>
      <c r="C9" s="192" t="s">
        <v>379</v>
      </c>
      <c r="D9" s="193" t="s">
        <v>466</v>
      </c>
      <c r="E9" s="194" t="s">
        <v>445</v>
      </c>
      <c r="F9" s="195">
        <v>0.0</v>
      </c>
      <c r="G9" s="196" t="s">
        <v>455</v>
      </c>
      <c r="H9" s="197" t="s">
        <v>467</v>
      </c>
    </row>
    <row r="10">
      <c r="A10" s="191" t="s">
        <v>468</v>
      </c>
      <c r="B10" s="192" t="s">
        <v>462</v>
      </c>
      <c r="C10" s="192" t="s">
        <v>409</v>
      </c>
      <c r="D10" s="193" t="s">
        <v>469</v>
      </c>
      <c r="E10" s="194" t="s">
        <v>445</v>
      </c>
      <c r="F10" s="195">
        <v>0.0</v>
      </c>
      <c r="G10" s="196" t="s">
        <v>455</v>
      </c>
      <c r="H10" s="197" t="s">
        <v>467</v>
      </c>
    </row>
    <row r="11">
      <c r="A11" s="191" t="s">
        <v>470</v>
      </c>
      <c r="B11" s="192" t="s">
        <v>471</v>
      </c>
      <c r="C11" s="192" t="s">
        <v>379</v>
      </c>
      <c r="D11" s="193" t="s">
        <v>472</v>
      </c>
      <c r="E11" s="194" t="s">
        <v>445</v>
      </c>
      <c r="F11" s="195">
        <v>0.0</v>
      </c>
      <c r="G11" s="196" t="s">
        <v>455</v>
      </c>
      <c r="H11" s="197" t="s">
        <v>473</v>
      </c>
    </row>
    <row r="12">
      <c r="A12" s="191" t="s">
        <v>474</v>
      </c>
      <c r="B12" s="196" t="s">
        <v>471</v>
      </c>
      <c r="C12" s="196" t="s">
        <v>409</v>
      </c>
      <c r="D12" s="198" t="s">
        <v>472</v>
      </c>
      <c r="E12" s="196" t="s">
        <v>445</v>
      </c>
      <c r="F12" s="195">
        <v>0.0</v>
      </c>
      <c r="G12" s="196" t="s">
        <v>455</v>
      </c>
      <c r="H12" s="197" t="s">
        <v>475</v>
      </c>
    </row>
    <row r="13">
      <c r="A13" s="191" t="s">
        <v>476</v>
      </c>
      <c r="B13" s="196" t="s">
        <v>477</v>
      </c>
      <c r="C13" s="196" t="s">
        <v>379</v>
      </c>
      <c r="D13" s="198" t="s">
        <v>478</v>
      </c>
      <c r="E13" s="196" t="s">
        <v>445</v>
      </c>
      <c r="F13" s="195">
        <v>0.0</v>
      </c>
      <c r="G13" s="196" t="s">
        <v>479</v>
      </c>
      <c r="H13" s="197" t="s">
        <v>480</v>
      </c>
    </row>
    <row r="14">
      <c r="A14" s="191" t="s">
        <v>481</v>
      </c>
      <c r="B14" s="196" t="s">
        <v>477</v>
      </c>
      <c r="C14" s="196" t="s">
        <v>409</v>
      </c>
      <c r="D14" s="198" t="s">
        <v>482</v>
      </c>
      <c r="E14" s="196" t="s">
        <v>445</v>
      </c>
      <c r="F14" s="195">
        <v>0.0</v>
      </c>
      <c r="G14" s="196" t="s">
        <v>479</v>
      </c>
      <c r="H14" s="197" t="s">
        <v>483</v>
      </c>
    </row>
    <row r="15">
      <c r="A15" s="191" t="s">
        <v>484</v>
      </c>
      <c r="B15" s="196" t="s">
        <v>485</v>
      </c>
      <c r="C15" s="196" t="s">
        <v>379</v>
      </c>
      <c r="D15" s="198" t="s">
        <v>486</v>
      </c>
      <c r="E15" s="196" t="s">
        <v>445</v>
      </c>
      <c r="F15" s="195">
        <v>0.0</v>
      </c>
      <c r="G15" s="196" t="s">
        <v>479</v>
      </c>
      <c r="H15" s="197" t="s">
        <v>487</v>
      </c>
    </row>
    <row r="16">
      <c r="A16" s="191" t="s">
        <v>488</v>
      </c>
      <c r="B16" s="196" t="s">
        <v>485</v>
      </c>
      <c r="C16" s="196" t="s">
        <v>409</v>
      </c>
      <c r="D16" s="198" t="s">
        <v>489</v>
      </c>
      <c r="E16" s="196" t="s">
        <v>445</v>
      </c>
      <c r="F16" s="195">
        <v>0.0</v>
      </c>
      <c r="G16" s="196" t="s">
        <v>479</v>
      </c>
      <c r="H16" s="197" t="s">
        <v>490</v>
      </c>
    </row>
    <row r="17">
      <c r="A17" s="191" t="s">
        <v>491</v>
      </c>
      <c r="B17" s="196" t="s">
        <v>492</v>
      </c>
      <c r="C17" s="196" t="s">
        <v>493</v>
      </c>
      <c r="D17" s="198" t="s">
        <v>494</v>
      </c>
      <c r="E17" s="196" t="s">
        <v>445</v>
      </c>
      <c r="F17" s="195">
        <v>0.0</v>
      </c>
      <c r="G17" s="196" t="s">
        <v>446</v>
      </c>
      <c r="H17" s="197" t="s">
        <v>495</v>
      </c>
    </row>
    <row r="18">
      <c r="A18" s="199" t="s">
        <v>496</v>
      </c>
      <c r="B18" s="200" t="s">
        <v>492</v>
      </c>
      <c r="C18" s="200" t="s">
        <v>497</v>
      </c>
      <c r="D18" s="201" t="s">
        <v>498</v>
      </c>
      <c r="E18" s="200" t="s">
        <v>445</v>
      </c>
      <c r="F18" s="202">
        <v>0.0</v>
      </c>
      <c r="G18" s="200" t="s">
        <v>446</v>
      </c>
      <c r="H18" s="203" t="s">
        <v>499</v>
      </c>
    </row>
  </sheetData>
  <conditionalFormatting sqref="E2:E18">
    <cfRule type="cellIs" dxfId="12" priority="1" stopIfTrue="1" operator="equal">
      <formula>"PASSED"</formula>
    </cfRule>
  </conditionalFormatting>
  <conditionalFormatting sqref="E2:E18">
    <cfRule type="cellIs" dxfId="13" priority="2" stopIfTrue="1" operator="equal">
      <formula>"WARN"</formula>
    </cfRule>
  </conditionalFormatting>
  <conditionalFormatting sqref="E2:E18">
    <cfRule type="cellIs" dxfId="14" priority="3" stopIfTrue="1" operator="equal">
      <formula>"FAILED"</formula>
    </cfRule>
  </conditionalFormatting>
  <conditionalFormatting sqref="E2:E18">
    <cfRule type="containsText" dxfId="15" priority="4" stopIfTrue="1" operator="containsText" text="FAIL">
      <formula>NOT(ISERROR(SEARCH(("FAIL"),(E2))))</formula>
    </cfRule>
  </conditionalFormatting>
  <conditionalFormatting sqref="E2:E18">
    <cfRule type="containsText" dxfId="16" priority="5" stopIfTrue="1" operator="containsText" text="WARN">
      <formula>NOT(ISERROR(SEARCH(("WARN"),(E2))))</formula>
    </cfRule>
  </conditionalFormatting>
  <conditionalFormatting sqref="E2:E18">
    <cfRule type="containsText" dxfId="17" priority="6" stopIfTrue="1" operator="containsText" text="PASS">
      <formula>NOT(ISERROR(SEARCH(("PASS"),(E2))))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32.63"/>
    <col customWidth="1" min="3" max="3" width="35.13"/>
    <col customWidth="1" min="4" max="4" width="27.63"/>
    <col customWidth="1" min="5" max="5" width="47.63"/>
    <col customWidth="1" min="6" max="6" width="14.63"/>
    <col customWidth="1" min="7" max="7" width="27.25"/>
  </cols>
  <sheetData>
    <row r="1">
      <c r="A1" s="179" t="s">
        <v>500</v>
      </c>
      <c r="B1" s="180" t="s">
        <v>501</v>
      </c>
      <c r="C1" s="180" t="s">
        <v>502</v>
      </c>
      <c r="D1" s="180" t="s">
        <v>503</v>
      </c>
      <c r="E1" s="180" t="s">
        <v>504</v>
      </c>
      <c r="F1" s="180" t="s">
        <v>505</v>
      </c>
      <c r="G1" s="181" t="s">
        <v>506</v>
      </c>
    </row>
    <row r="2">
      <c r="A2" s="191" t="s">
        <v>507</v>
      </c>
      <c r="B2" s="198" t="s">
        <v>508</v>
      </c>
      <c r="C2" s="198" t="s">
        <v>509</v>
      </c>
      <c r="D2" s="198" t="s">
        <v>510</v>
      </c>
      <c r="E2" s="198" t="s">
        <v>511</v>
      </c>
      <c r="F2" s="204" t="s">
        <v>512</v>
      </c>
      <c r="G2" s="197" t="s">
        <v>513</v>
      </c>
    </row>
    <row r="3">
      <c r="A3" s="191" t="s">
        <v>514</v>
      </c>
      <c r="B3" s="198" t="s">
        <v>515</v>
      </c>
      <c r="C3" s="198" t="s">
        <v>516</v>
      </c>
      <c r="D3" s="198" t="s">
        <v>517</v>
      </c>
      <c r="E3" s="198" t="s">
        <v>518</v>
      </c>
      <c r="F3" s="204" t="s">
        <v>512</v>
      </c>
      <c r="G3" s="197" t="s">
        <v>519</v>
      </c>
    </row>
    <row r="4">
      <c r="A4" s="191" t="s">
        <v>520</v>
      </c>
      <c r="B4" s="198" t="s">
        <v>521</v>
      </c>
      <c r="C4" s="198" t="s">
        <v>522</v>
      </c>
      <c r="D4" s="198" t="s">
        <v>510</v>
      </c>
      <c r="E4" s="198" t="s">
        <v>523</v>
      </c>
      <c r="F4" s="204" t="s">
        <v>512</v>
      </c>
      <c r="G4" s="197" t="s">
        <v>524</v>
      </c>
    </row>
    <row r="5">
      <c r="A5" s="191" t="s">
        <v>525</v>
      </c>
      <c r="B5" s="198" t="s">
        <v>526</v>
      </c>
      <c r="C5" s="198" t="s">
        <v>527</v>
      </c>
      <c r="D5" s="198" t="s">
        <v>528</v>
      </c>
      <c r="E5" s="198" t="s">
        <v>529</v>
      </c>
      <c r="F5" s="204" t="s">
        <v>512</v>
      </c>
      <c r="G5" s="197" t="s">
        <v>530</v>
      </c>
    </row>
    <row r="6">
      <c r="A6" s="199" t="s">
        <v>531</v>
      </c>
      <c r="B6" s="201" t="s">
        <v>532</v>
      </c>
      <c r="C6" s="201" t="s">
        <v>533</v>
      </c>
      <c r="D6" s="201" t="s">
        <v>510</v>
      </c>
      <c r="E6" s="201" t="s">
        <v>534</v>
      </c>
      <c r="F6" s="205" t="s">
        <v>512</v>
      </c>
      <c r="G6" s="203" t="s">
        <v>535</v>
      </c>
    </row>
  </sheetData>
  <conditionalFormatting sqref="F2:F6">
    <cfRule type="containsText" dxfId="17" priority="1" stopIfTrue="1" operator="containsText" text="PASS">
      <formula>NOT(ISERROR(SEARCH(("PASS"),(F2))))</formula>
    </cfRule>
  </conditionalFormatting>
  <conditionalFormatting sqref="F2:F6">
    <cfRule type="containsText" dxfId="15" priority="2" stopIfTrue="1" operator="containsText" text="FAIL">
      <formula>NOT(ISERROR(SEARCH(("FAIL"),(F2))))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2.0"/>
    <col customWidth="1" min="3" max="3" width="13.88"/>
    <col customWidth="1" min="4" max="5" width="15.13"/>
    <col customWidth="1" min="6" max="7" width="17.0"/>
    <col customWidth="1" min="8" max="8" width="3.25"/>
    <col customWidth="1" min="9" max="9" width="12.63"/>
    <col customWidth="1" min="10" max="10" width="14.5"/>
    <col customWidth="1" min="11" max="12" width="12.0"/>
    <col customWidth="1" min="13" max="13" width="17.0"/>
    <col customWidth="1" min="14" max="14" width="18.25"/>
    <col customWidth="1" min="15" max="15" width="3.25"/>
  </cols>
  <sheetData>
    <row r="1" ht="10.5" customHeight="1"/>
    <row r="2" ht="28.5" customHeight="1">
      <c r="B2" s="1" t="s">
        <v>0</v>
      </c>
      <c r="P2" s="206" t="s">
        <v>1</v>
      </c>
    </row>
    <row r="3" ht="18.0" customHeight="1">
      <c r="B3" s="3" t="s">
        <v>2</v>
      </c>
      <c r="P3" s="206" t="s">
        <v>3</v>
      </c>
      <c r="Q3" s="206" t="s">
        <v>4</v>
      </c>
      <c r="R3" s="206" t="s">
        <v>5</v>
      </c>
      <c r="S3" s="206" t="s">
        <v>6</v>
      </c>
    </row>
    <row r="4" ht="7.5" customHeight="1">
      <c r="P4" s="207">
        <f>DATE(2024, 12, 1)</f>
        <v>45627</v>
      </c>
      <c r="Q4" s="208">
        <f>SUMIFS(fiat_transactions!$E$2:$E$26, fiat_transactions!$D$2:$D$26, "USD", fiat_transactions!$C$2:$C$26, "deposit", fiat_transactions!$H$2:$H$26, "completed", fiat_transactions!$I$2:$I$26, "&gt;="&amp;$P4, fiat_transactions!$I$2:$I$26, "&lt;"&amp;EDATE($P4, 1)) + SUMIFS(crypto_transactions!$F$2:$F$26, crypto_transactions!$D$2:$D$26, "USDT", crypto_transactions!$C$2:$C$26, "deposit", crypto_transactions!$J$2:$J$26, "completed", crypto_transactions!$L$2:$L$26, "&gt;="&amp;$P4, crypto_transactions!$L$2:$L$26, "&lt;"&amp;EDATE($P4, 1))</f>
        <v>300</v>
      </c>
      <c r="R4" s="208">
        <f>SUMIFS(fiat_transactions!$E$2:$E$26, fiat_transactions!$D$2:$D$26, "USD", fiat_transactions!$C$2:$C$26, "withdrawal", fiat_transactions!$H$2:$H$26, "completed", fiat_transactions!$I$2:$I$26, "&gt;="&amp;$P4, fiat_transactions!$I$2:$I$26, "&lt;"&amp;EDATE($P4, 1)) + SUMIFS(crypto_transactions!$F$2:$F$26, crypto_transactions!$D$2:$D$26, "USDT", crypto_transactions!$C$2:$C$26, "withdrawal", crypto_transactions!$J$2:$J$26, "completed", crypto_transactions!$L$2:$L$26, "&gt;="&amp;$P4, crypto_transactions!$L$2:$L$26, "&lt;"&amp;EDATE($P4, 1))</f>
        <v>0</v>
      </c>
      <c r="S4" s="208">
        <f t="shared" ref="S4:S16" si="1">Q4-R4</f>
        <v>300</v>
      </c>
    </row>
    <row r="5" ht="16.5" customHeight="1">
      <c r="B5" s="8" t="s">
        <v>7</v>
      </c>
      <c r="C5" s="9"/>
      <c r="D5" s="10"/>
      <c r="E5" s="8" t="s">
        <v>8</v>
      </c>
      <c r="F5" s="9"/>
      <c r="G5" s="10"/>
      <c r="H5" s="11"/>
      <c r="I5" s="8" t="s">
        <v>9</v>
      </c>
      <c r="J5" s="9"/>
      <c r="K5" s="10"/>
      <c r="L5" s="8" t="s">
        <v>10</v>
      </c>
      <c r="M5" s="9"/>
      <c r="N5" s="10"/>
      <c r="P5" s="207">
        <f>DATE(2025, 1, 1)</f>
        <v>45658</v>
      </c>
      <c r="Q5" s="208">
        <f>SUMIFS(fiat_transactions!$E$2:$E$26, fiat_transactions!$D$2:$D$26, "USD", fiat_transactions!$C$2:$C$26, "deposit", fiat_transactions!$H$2:$H$26, "completed", fiat_transactions!$I$2:$I$26, "&gt;="&amp;$P5, fiat_transactions!$I$2:$I$26, "&lt;"&amp;EDATE($P5, 1)) + SUMIFS(crypto_transactions!$F$2:$F$26, crypto_transactions!$D$2:$D$26, "USDT", crypto_transactions!$C$2:$C$26, "deposit", crypto_transactions!$J$2:$J$26, "completed", crypto_transactions!$L$2:$L$26, "&gt;="&amp;$P5, crypto_transactions!$L$2:$L$26, "&lt;"&amp;EDATE($P5, 1))</f>
        <v>53500</v>
      </c>
      <c r="R5" s="208">
        <f>SUMIFS(fiat_transactions!$E$2:$E$26, fiat_transactions!$D$2:$D$26, "USD", fiat_transactions!$C$2:$C$26, "withdrawal", fiat_transactions!$H$2:$H$26, "completed", fiat_transactions!$I$2:$I$26, "&gt;="&amp;$P5, fiat_transactions!$I$2:$I$26, "&lt;"&amp;EDATE($P5, 1)) + SUMIFS(crypto_transactions!$F$2:$F$26, crypto_transactions!$D$2:$D$26, "USDT", crypto_transactions!$C$2:$C$26, "withdrawal", crypto_transactions!$J$2:$J$26, "completed", crypto_transactions!$L$2:$L$26, "&gt;="&amp;$P5, crypto_transactions!$L$2:$L$26, "&lt;"&amp;EDATE($P5, 1))</f>
        <v>0</v>
      </c>
      <c r="S5" s="208">
        <f t="shared" si="1"/>
        <v>53500</v>
      </c>
    </row>
    <row r="6" ht="24.0" customHeight="1">
      <c r="B6" s="209">
        <f>SUMIFS(fiat_transactions!E2:E26, fiat_transactions!D2:D26, "USD", fiat_transactions!H2:H26, "completed")</f>
        <v>104270</v>
      </c>
      <c r="D6" s="13"/>
      <c r="E6" s="14">
        <f>SUMIFS(crypto_transactions!F2:F26, crypto_transactions!D2:D26, "USDT", crypto_transactions!J2:J26, "completed")</f>
        <v>13000</v>
      </c>
      <c r="G6" s="13"/>
      <c r="I6" s="210">
        <f>(COUNTIF(fiat_transactions!H2:H26, "completed") + COUNTIF(crypto_transactions!J2:J26, "completed")) / (COUNTA(fiat_transactions!H2:H26) + COUNTA(crypto_transactions!J2:J26))</f>
        <v>0.86</v>
      </c>
      <c r="K6" s="13"/>
      <c r="L6" s="211">
        <f>SUMIFS(fiat_transactions!E2:E26, fiat_transactions!D2:D26, "USD", fiat_transactions!C2:C26, "deposit", fiat_transactions!H2:H26, "completed") - SUMIFS(fiat_transactions!E2:E26, fiat_transactions!D2:D26, "USD", fiat_transactions!C2:C26, "withdrawal", fiat_transactions!H2:H26, "completed")</f>
        <v>47730</v>
      </c>
      <c r="N6" s="13"/>
      <c r="P6" s="207">
        <f>DATE(2025, 2, 1)</f>
        <v>45689</v>
      </c>
      <c r="Q6" s="208">
        <f>SUMIFS(fiat_transactions!$E$2:$E$26, fiat_transactions!$D$2:$D$26, "USD", fiat_transactions!$C$2:$C$26, "deposit", fiat_transactions!$H$2:$H$26, "completed", fiat_transactions!$I$2:$I$26, "&gt;="&amp;$P6, fiat_transactions!$I$2:$I$26, "&lt;"&amp;EDATE($P6, 1)) + SUMIFS(crypto_transactions!$F$2:$F$26, crypto_transactions!$D$2:$D$26, "USDT", crypto_transactions!$C$2:$C$26, "deposit", crypto_transactions!$J$2:$J$26, "completed", crypto_transactions!$L$2:$L$26, "&gt;="&amp;$P6, crypto_transactions!$L$2:$L$26, "&lt;"&amp;EDATE($P6, 1))</f>
        <v>400</v>
      </c>
      <c r="R6" s="208">
        <f>SUMIFS(fiat_transactions!$E$2:$E$26, fiat_transactions!$D$2:$D$26, "USD", fiat_transactions!$C$2:$C$26, "withdrawal", fiat_transactions!$H$2:$H$26, "completed", fiat_transactions!$I$2:$I$26, "&gt;="&amp;$P6, fiat_transactions!$I$2:$I$26, "&lt;"&amp;EDATE($P6, 1)) + SUMIFS(crypto_transactions!$F$2:$F$26, crypto_transactions!$D$2:$D$26, "USDT", crypto_transactions!$C$2:$C$26, "withdrawal", crypto_transactions!$J$2:$J$26, "completed", crypto_transactions!$L$2:$L$26, "&gt;="&amp;$P6, crypto_transactions!$L$2:$L$26, "&lt;"&amp;EDATE($P6, 1))</f>
        <v>12500</v>
      </c>
      <c r="S6" s="208">
        <f t="shared" si="1"/>
        <v>-12100</v>
      </c>
    </row>
    <row r="7" ht="13.5" customHeight="1">
      <c r="B7" s="17" t="str">
        <f>"已完成 9 笔 USD / 全币种 21 笔"</f>
        <v>已完成 9 笔 USD / 全币种 21 笔</v>
      </c>
      <c r="D7" s="13"/>
      <c r="E7" s="17" t="str">
        <f>"已完成 15 笔 USDT / 覆盖 4 大公链"</f>
        <v>已完成 15 笔 USDT / 覆盖 4 大公链</v>
      </c>
      <c r="G7" s="13"/>
      <c r="H7" s="18"/>
      <c r="I7" s="17" t="str">
        <f>"43 笔成功 / 7 笔异常或挂起"</f>
        <v>43 笔成功 / 7 笔异常或挂起</v>
      </c>
      <c r="K7" s="13"/>
      <c r="L7" s="17" t="str">
        <f>"充值 $76,000 | 提现 $18,270"</f>
        <v>充值 $76,000 | 提现 $18,270</v>
      </c>
      <c r="N7" s="13"/>
      <c r="P7" s="207">
        <f>DATE(2025, 3, 1)</f>
        <v>45717</v>
      </c>
      <c r="Q7" s="208">
        <f>SUMIFS(fiat_transactions!$E$2:$E$26, fiat_transactions!$D$2:$D$26, "USD", fiat_transactions!$C$2:$C$26, "deposit", fiat_transactions!$H$2:$H$26, "completed", fiat_transactions!$I$2:$I$26, "&gt;="&amp;$P7, fiat_transactions!$I$2:$I$26, "&lt;"&amp;EDATE($P7, 1)) + SUMIFS(crypto_transactions!$F$2:$F$26, crypto_transactions!$D$2:$D$26, "USDT", crypto_transactions!$C$2:$C$26, "deposit", crypto_transactions!$J$2:$J$26, "completed", crypto_transactions!$L$2:$L$26, "&gt;="&amp;$P7, crypto_transactions!$L$2:$L$26, "&lt;"&amp;EDATE($P7, 1))</f>
        <v>1000</v>
      </c>
      <c r="R7" s="208">
        <f>SUMIFS(fiat_transactions!$E$2:$E$26, fiat_transactions!$D$2:$D$26, "USD", fiat_transactions!$C$2:$C$26, "withdrawal", fiat_transactions!$H$2:$H$26, "completed", fiat_transactions!$I$2:$I$26, "&gt;="&amp;$P7, fiat_transactions!$I$2:$I$26, "&lt;"&amp;EDATE($P7, 1)) + SUMIFS(crypto_transactions!$F$2:$F$26, crypto_transactions!$D$2:$D$26, "USDT", crypto_transactions!$C$2:$C$26, "withdrawal", crypto_transactions!$J$2:$J$26, "completed", crypto_transactions!$L$2:$L$26, "&gt;="&amp;$P7, crypto_transactions!$L$2:$L$26, "&lt;"&amp;EDATE($P7, 1))</f>
        <v>600</v>
      </c>
      <c r="S7" s="208">
        <f t="shared" si="1"/>
        <v>400</v>
      </c>
    </row>
    <row r="8" ht="13.5" customHeight="1">
      <c r="B8" s="20" t="str">
        <f>"通道手续费创收: $" &amp; TEXT(SUM(fiat_transactions!F2:F26), "0.00")</f>
        <v>通道手续费创收: $150.50</v>
      </c>
      <c r="C8" s="21"/>
      <c r="D8" s="22"/>
      <c r="E8" s="20" t="str">
        <f>"链上手续费创收: " &amp; TEXT(SUMIFS(crypto_transactions!G2:G26, crypto_transactions!D2:D26, "USDT"), "0.00") &amp; " USDT"</f>
        <v>链上手续费创收: 10.90 USDT</v>
      </c>
      <c r="F8" s="21"/>
      <c r="G8" s="22"/>
      <c r="H8" s="18"/>
      <c r="I8" s="20" t="str">
        <f>"质检合规率: 100% (17/17 项规则)"</f>
        <v>质检合规率: 100% (17/17 项规则)</v>
      </c>
      <c r="J8" s="21"/>
      <c r="K8" s="22"/>
      <c r="L8" s="20" t="str">
        <f>"USDT 净沉淀: +3,000.00 USDT"</f>
        <v>USDT 净沉淀: +3,000.00 USDT</v>
      </c>
      <c r="M8" s="21"/>
      <c r="N8" s="22"/>
      <c r="P8" s="207">
        <f>DATE(2025, 4, 1)</f>
        <v>45748</v>
      </c>
      <c r="Q8" s="208">
        <f>SUMIFS(fiat_transactions!$E$2:$E$26, fiat_transactions!$D$2:$D$26, "USD", fiat_transactions!$C$2:$C$26, "deposit", fiat_transactions!$H$2:$H$26, "completed", fiat_transactions!$I$2:$I$26, "&gt;="&amp;$P8, fiat_transactions!$I$2:$I$26, "&lt;"&amp;EDATE($P8, 1)) + SUMIFS(crypto_transactions!$F$2:$F$26, crypto_transactions!$D$2:$D$26, "USDT", crypto_transactions!$C$2:$C$26, "deposit", crypto_transactions!$J$2:$J$26, "completed", crypto_transactions!$L$2:$L$26, "&gt;="&amp;$P8, crypto_transactions!$L$2:$L$26, "&lt;"&amp;EDATE($P8, 1))</f>
        <v>700</v>
      </c>
      <c r="R8" s="208">
        <f>SUMIFS(fiat_transactions!$E$2:$E$26, fiat_transactions!$D$2:$D$26, "USD", fiat_transactions!$C$2:$C$26, "withdrawal", fiat_transactions!$H$2:$H$26, "completed", fiat_transactions!$I$2:$I$26, "&gt;="&amp;$P8, fiat_transactions!$I$2:$I$26, "&lt;"&amp;EDATE($P8, 1)) + SUMIFS(crypto_transactions!$F$2:$F$26, crypto_transactions!$D$2:$D$26, "USDT", crypto_transactions!$C$2:$C$26, "withdrawal", crypto_transactions!$J$2:$J$26, "completed", crypto_transactions!$L$2:$L$26, "&gt;="&amp;$P8, crypto_transactions!$L$2:$L$26, "&lt;"&amp;EDATE($P8, 1))</f>
        <v>1950</v>
      </c>
      <c r="S8" s="208">
        <f t="shared" si="1"/>
        <v>-1250</v>
      </c>
    </row>
    <row r="9" ht="9.0" customHeight="1">
      <c r="P9" s="207">
        <f>DATE(2025, 5, 1)</f>
        <v>45778</v>
      </c>
      <c r="Q9" s="208">
        <f>SUMIFS(fiat_transactions!$E$2:$E$26, fiat_transactions!$D$2:$D$26, "USD", fiat_transactions!$C$2:$C$26, "deposit", fiat_transactions!$H$2:$H$26, "completed", fiat_transactions!$I$2:$I$26, "&gt;="&amp;$P9, fiat_transactions!$I$2:$I$26, "&lt;"&amp;EDATE($P9, 1)) + SUMIFS(crypto_transactions!$F$2:$F$26, crypto_transactions!$D$2:$D$26, "USDT", crypto_transactions!$C$2:$C$26, "deposit", crypto_transactions!$J$2:$J$26, "completed", crypto_transactions!$L$2:$L$26, "&gt;="&amp;$P9, crypto_transactions!$L$2:$L$26, "&lt;"&amp;EDATE($P9, 1))</f>
        <v>0</v>
      </c>
      <c r="R9" s="208">
        <f>SUMIFS(fiat_transactions!$E$2:$E$26, fiat_transactions!$D$2:$D$26, "USD", fiat_transactions!$C$2:$C$26, "withdrawal", fiat_transactions!$H$2:$H$26, "completed", fiat_transactions!$I$2:$I$26, "&gt;="&amp;$P9, fiat_transactions!$I$2:$I$26, "&lt;"&amp;EDATE($P9, 1)) + SUMIFS(crypto_transactions!$F$2:$F$26, crypto_transactions!$D$2:$D$26, "USDT", crypto_transactions!$C$2:$C$26, "withdrawal", crypto_transactions!$J$2:$J$26, "completed", crypto_transactions!$L$2:$L$26, "&gt;="&amp;$P9, crypto_transactions!$L$2:$L$26, "&lt;"&amp;EDATE($P9, 1))</f>
        <v>0</v>
      </c>
      <c r="S9" s="208">
        <f t="shared" si="1"/>
        <v>0</v>
      </c>
    </row>
    <row r="10" ht="21.0" customHeight="1">
      <c r="B10" s="23" t="s">
        <v>12</v>
      </c>
      <c r="C10" s="24"/>
      <c r="D10" s="24"/>
      <c r="E10" s="24"/>
      <c r="F10" s="24"/>
      <c r="G10" s="25"/>
      <c r="I10" s="23" t="s">
        <v>13</v>
      </c>
      <c r="J10" s="24"/>
      <c r="K10" s="24"/>
      <c r="L10" s="24"/>
      <c r="M10" s="24"/>
      <c r="N10" s="25"/>
      <c r="P10" s="207">
        <f>DATE(2025, 6, 1)</f>
        <v>45809</v>
      </c>
      <c r="Q10" s="208">
        <f>SUMIFS(fiat_transactions!$E$2:$E$26, fiat_transactions!$D$2:$D$26, "USD", fiat_transactions!$C$2:$C$26, "deposit", fiat_transactions!$H$2:$H$26, "completed", fiat_transactions!$I$2:$I$26, "&gt;="&amp;$P10, fiat_transactions!$I$2:$I$26, "&lt;"&amp;EDATE($P10, 1)) + SUMIFS(crypto_transactions!$F$2:$F$26, crypto_transactions!$D$2:$D$26, "USDT", crypto_transactions!$C$2:$C$26, "deposit", crypto_transactions!$J$2:$J$26, "completed", crypto_transactions!$L$2:$L$26, "&gt;="&amp;$P10, crypto_transactions!$L$2:$L$26, "&lt;"&amp;EDATE($P10, 1))</f>
        <v>25000</v>
      </c>
      <c r="R10" s="208">
        <f>SUMIFS(fiat_transactions!$E$2:$E$26, fiat_transactions!$D$2:$D$26, "USD", fiat_transactions!$C$2:$C$26, "withdrawal", fiat_transactions!$H$2:$H$26, "completed", fiat_transactions!$I$2:$I$26, "&gt;="&amp;$P10, fiat_transactions!$I$2:$I$26, "&lt;"&amp;EDATE($P10, 1)) + SUMIFS(crypto_transactions!$F$2:$F$26, crypto_transactions!$D$2:$D$26, "USDT", crypto_transactions!$C$2:$C$26, "withdrawal", crypto_transactions!$J$2:$J$26, "completed", crypto_transactions!$L$2:$L$26, "&gt;="&amp;$P10, crypto_transactions!$L$2:$L$26, "&lt;"&amp;EDATE($P10, 1))</f>
        <v>5000</v>
      </c>
      <c r="S10" s="208">
        <f t="shared" si="1"/>
        <v>20000</v>
      </c>
    </row>
    <row r="11" ht="18.0" customHeight="1">
      <c r="B11" s="26" t="s">
        <v>14</v>
      </c>
      <c r="C11" s="27" t="s">
        <v>15</v>
      </c>
      <c r="D11" s="27" t="s">
        <v>4</v>
      </c>
      <c r="E11" s="27" t="s">
        <v>5</v>
      </c>
      <c r="F11" s="27" t="s">
        <v>16</v>
      </c>
      <c r="G11" s="28" t="s">
        <v>17</v>
      </c>
      <c r="H11" s="29"/>
      <c r="I11" s="26" t="s">
        <v>18</v>
      </c>
      <c r="J11" s="27" t="s">
        <v>19</v>
      </c>
      <c r="K11" s="27" t="s">
        <v>20</v>
      </c>
      <c r="L11" s="27" t="s">
        <v>21</v>
      </c>
      <c r="M11" s="27" t="s">
        <v>22</v>
      </c>
      <c r="N11" s="28" t="s">
        <v>23</v>
      </c>
      <c r="P11" s="207">
        <f>DATE(2025, 7, 1)</f>
        <v>45839</v>
      </c>
      <c r="Q11" s="208">
        <f>SUMIFS(fiat_transactions!$E$2:$E$26, fiat_transactions!$D$2:$D$26, "USD", fiat_transactions!$C$2:$C$26, "deposit", fiat_transactions!$H$2:$H$26, "completed", fiat_transactions!$I$2:$I$26, "&gt;="&amp;$P11, fiat_transactions!$I$2:$I$26, "&lt;"&amp;EDATE($P11, 1)) + SUMIFS(crypto_transactions!$F$2:$F$26, crypto_transactions!$D$2:$D$26, "USDT", crypto_transactions!$C$2:$C$26, "deposit", crypto_transactions!$J$2:$J$26, "completed", crypto_transactions!$L$2:$L$26, "&gt;="&amp;$P11, crypto_transactions!$L$2:$L$26, "&lt;"&amp;EDATE($P11, 1))</f>
        <v>0</v>
      </c>
      <c r="R11" s="208">
        <f>SUMIFS(fiat_transactions!$E$2:$E$26, fiat_transactions!$D$2:$D$26, "USD", fiat_transactions!$C$2:$C$26, "withdrawal", fiat_transactions!$H$2:$H$26, "completed", fiat_transactions!$I$2:$I$26, "&gt;="&amp;$P11, fiat_transactions!$I$2:$I$26, "&lt;"&amp;EDATE($P11, 1)) + SUMIFS(crypto_transactions!$F$2:$F$26, crypto_transactions!$D$2:$D$26, "USDT", crypto_transactions!$C$2:$C$26, "withdrawal", crypto_transactions!$J$2:$J$26, "completed", crypto_transactions!$L$2:$L$26, "&gt;="&amp;$P11, crypto_transactions!$L$2:$L$26, "&lt;"&amp;EDATE($P11, 1))</f>
        <v>0</v>
      </c>
      <c r="S11" s="208">
        <f t="shared" si="1"/>
        <v>0</v>
      </c>
    </row>
    <row r="12" ht="15.0" customHeight="1">
      <c r="B12" s="30" t="s">
        <v>24</v>
      </c>
      <c r="C12" s="31" t="s">
        <v>25</v>
      </c>
      <c r="D12" s="32">
        <f>SUMIFS(fiat_transactions!$E$2:$E$26, fiat_transactions!$D$2:$D$26, "USD", fiat_transactions!$C$2:$C$26, "deposit", fiat_transactions!$H$2:$H$26, "completed")</f>
        <v>76000</v>
      </c>
      <c r="E12" s="32">
        <f>SUMIFS(fiat_transactions!$E$2:$E$26, fiat_transactions!$D$2:$D$26, "USD", fiat_transactions!$C$2:$C$26, "withdrawal", fiat_transactions!$H$2:$H$26, "completed")</f>
        <v>28270</v>
      </c>
      <c r="F12" s="32">
        <f t="shared" ref="F12:F19" si="2">D12-E12</f>
        <v>47730</v>
      </c>
      <c r="G12" s="33" t="str">
        <f t="shared" ref="G12:G19" si="3">IF(F12&gt;0,"🟢 净流入",IF(F12=0,"⚪ 持平","🔴 净流出"))</f>
        <v>🟢 净流入</v>
      </c>
      <c r="I12" s="30" t="s">
        <v>26</v>
      </c>
      <c r="J12" s="31" t="s">
        <v>27</v>
      </c>
      <c r="K12" s="34">
        <f>COUNTIF(fiat_transactions!G2:G26, "wire_transfer")</f>
        <v>6</v>
      </c>
      <c r="L12" s="35">
        <f>COUNTIFS(fiat_transactions!G2:G26, "wire_transfer", fiat_transactions!H2:H26, "completed") / K12</f>
        <v>0.8333333333</v>
      </c>
      <c r="M12" s="35">
        <f t="shared" ref="M12:M19" si="4">1 - L12</f>
        <v>0.1666666667</v>
      </c>
      <c r="N12" s="36">
        <f>SUMIF(fiat_transactions!G2:G26, "wire_transfer", fiat_transactions!F2:F26)</f>
        <v>120</v>
      </c>
      <c r="P12" s="207">
        <f>DATE(2025, 8, 1)</f>
        <v>45870</v>
      </c>
      <c r="Q12" s="208">
        <f>SUMIFS(fiat_transactions!$E$2:$E$26, fiat_transactions!$D$2:$D$26, "USD", fiat_transactions!$C$2:$C$26, "deposit", fiat_transactions!$H$2:$H$26, "completed", fiat_transactions!$I$2:$I$26, "&gt;="&amp;$P12, fiat_transactions!$I$2:$I$26, "&lt;"&amp;EDATE($P12, 1)) + SUMIFS(crypto_transactions!$F$2:$F$26, crypto_transactions!$D$2:$D$26, "USDT", crypto_transactions!$C$2:$C$26, "deposit", crypto_transactions!$J$2:$J$26, "completed", crypto_transactions!$L$2:$L$26, "&gt;="&amp;$P12, crypto_transactions!$L$2:$L$26, "&lt;"&amp;EDATE($P12, 1))</f>
        <v>600</v>
      </c>
      <c r="R12" s="208">
        <f>SUMIFS(fiat_transactions!$E$2:$E$26, fiat_transactions!$D$2:$D$26, "USD", fiat_transactions!$C$2:$C$26, "withdrawal", fiat_transactions!$H$2:$H$26, "completed", fiat_transactions!$I$2:$I$26, "&gt;="&amp;$P12, fiat_transactions!$I$2:$I$26, "&lt;"&amp;EDATE($P12, 1)) + SUMIFS(crypto_transactions!$F$2:$F$26, crypto_transactions!$D$2:$D$26, "USDT", crypto_transactions!$C$2:$C$26, "withdrawal", crypto_transactions!$J$2:$J$26, "completed", crypto_transactions!$L$2:$L$26, "&gt;="&amp;$P12, crypto_transactions!$L$2:$L$26, "&lt;"&amp;EDATE($P12, 1))</f>
        <v>0</v>
      </c>
      <c r="S12" s="208">
        <f t="shared" si="1"/>
        <v>600</v>
      </c>
    </row>
    <row r="13" ht="15.0" customHeight="1">
      <c r="B13" s="37" t="s">
        <v>28</v>
      </c>
      <c r="C13" s="38" t="s">
        <v>25</v>
      </c>
      <c r="D13" s="39">
        <f>SUMIFS(fiat_transactions!$E$2:$E$26, fiat_transactions!$D$2:$D$26, "EUR", fiat_transactions!$C$2:$C$26, "deposit", fiat_transactions!$H$2:$H$26, "completed")</f>
        <v>9500</v>
      </c>
      <c r="E13" s="39">
        <f>SUMIFS(fiat_transactions!$E$2:$E$26, fiat_transactions!$D$2:$D$26, "EUR", fiat_transactions!$C$2:$C$26, "withdrawal", fiat_transactions!$H$2:$H$26, "completed")</f>
        <v>500</v>
      </c>
      <c r="F13" s="39">
        <f t="shared" si="2"/>
        <v>9000</v>
      </c>
      <c r="G13" s="40" t="str">
        <f t="shared" si="3"/>
        <v>🟢 净流入</v>
      </c>
      <c r="I13" s="37" t="s">
        <v>29</v>
      </c>
      <c r="J13" s="38" t="s">
        <v>30</v>
      </c>
      <c r="K13" s="41">
        <f>COUNTIF(fiat_transactions!G2:G26, "ach")</f>
        <v>5</v>
      </c>
      <c r="L13" s="42">
        <f>COUNTIFS(fiat_transactions!G2:G26, "ach", fiat_transactions!H2:H26, "completed") / K13</f>
        <v>0.8</v>
      </c>
      <c r="M13" s="42">
        <f t="shared" si="4"/>
        <v>0.2</v>
      </c>
      <c r="N13" s="43">
        <f>SUMIF(fiat_transactions!G2:G26, "ach", fiat_transactions!F2:F26)</f>
        <v>7</v>
      </c>
      <c r="P13" s="207">
        <f>DATE(2025, 9, 1)</f>
        <v>45901</v>
      </c>
      <c r="Q13" s="208">
        <f>SUMIFS(fiat_transactions!$E$2:$E$26, fiat_transactions!$D$2:$D$26, "USD", fiat_transactions!$C$2:$C$26, "deposit", fiat_transactions!$H$2:$H$26, "completed", fiat_transactions!$I$2:$I$26, "&gt;="&amp;$P13, fiat_transactions!$I$2:$I$26, "&lt;"&amp;EDATE($P13, 1)) + SUMIFS(crypto_transactions!$F$2:$F$26, crypto_transactions!$D$2:$D$26, "USDT", crypto_transactions!$C$2:$C$26, "deposit", crypto_transactions!$J$2:$J$26, "completed", crypto_transactions!$L$2:$L$26, "&gt;="&amp;$P13, crypto_transactions!$L$2:$L$26, "&lt;"&amp;EDATE($P13, 1))</f>
        <v>0</v>
      </c>
      <c r="R13" s="208">
        <f>SUMIFS(fiat_transactions!$E$2:$E$26, fiat_transactions!$D$2:$D$26, "USD", fiat_transactions!$C$2:$C$26, "withdrawal", fiat_transactions!$H$2:$H$26, "completed", fiat_transactions!$I$2:$I$26, "&gt;="&amp;$P13, fiat_transactions!$I$2:$I$26, "&lt;"&amp;EDATE($P13, 1)) + SUMIFS(crypto_transactions!$F$2:$F$26, crypto_transactions!$D$2:$D$26, "USDT", crypto_transactions!$C$2:$C$26, "withdrawal", crypto_transactions!$J$2:$J$26, "completed", crypto_transactions!$L$2:$L$26, "&gt;="&amp;$P13, crypto_transactions!$L$2:$L$26, "&lt;"&amp;EDATE($P13, 1))</f>
        <v>11100</v>
      </c>
      <c r="S13" s="208">
        <f t="shared" si="1"/>
        <v>-11100</v>
      </c>
    </row>
    <row r="14" ht="15.0" customHeight="1">
      <c r="B14" s="30" t="s">
        <v>31</v>
      </c>
      <c r="C14" s="31" t="s">
        <v>25</v>
      </c>
      <c r="D14" s="44">
        <f>SUMIFS(fiat_transactions!$E$2:$E$26, fiat_transactions!$D$2:$D$26, "GBP", fiat_transactions!$C$2:$C$26, "deposit", fiat_transactions!$H$2:$H$26, "completed")</f>
        <v>3000</v>
      </c>
      <c r="E14" s="44">
        <f>SUMIFS(fiat_transactions!$E$2:$E$26, fiat_transactions!$D$2:$D$26, "GBP", fiat_transactions!$C$2:$C$26, "withdrawal", fiat_transactions!$H$2:$H$26, "completed")</f>
        <v>2000</v>
      </c>
      <c r="F14" s="44">
        <f t="shared" si="2"/>
        <v>1000</v>
      </c>
      <c r="G14" s="33" t="str">
        <f t="shared" si="3"/>
        <v>🟢 净流入</v>
      </c>
      <c r="I14" s="30" t="s">
        <v>32</v>
      </c>
      <c r="J14" s="31" t="s">
        <v>33</v>
      </c>
      <c r="K14" s="34">
        <f>COUNTIF(fiat_transactions!G2:G26, "sepa_instant")</f>
        <v>4</v>
      </c>
      <c r="L14" s="35">
        <f>COUNTIFS(fiat_transactions!G2:G26, "sepa_instant", fiat_transactions!H2:H26, "completed") / K14</f>
        <v>0.75</v>
      </c>
      <c r="M14" s="35">
        <f t="shared" si="4"/>
        <v>0.25</v>
      </c>
      <c r="N14" s="36">
        <f>SUMIF(fiat_transactions!G2:G26, "sepa_instant", fiat_transactions!F2:F26)</f>
        <v>3</v>
      </c>
      <c r="P14" s="207">
        <f>DATE(2025, 10, 1)</f>
        <v>45931</v>
      </c>
      <c r="Q14" s="208">
        <f>SUMIFS(fiat_transactions!$E$2:$E$26, fiat_transactions!$D$2:$D$26, "USD", fiat_transactions!$C$2:$C$26, "deposit", fiat_transactions!$H$2:$H$26, "completed", fiat_transactions!$I$2:$I$26, "&gt;="&amp;$P14, fiat_transactions!$I$2:$I$26, "&lt;"&amp;EDATE($P14, 1)) + SUMIFS(crypto_transactions!$F$2:$F$26, crypto_transactions!$D$2:$D$26, "USDT", crypto_transactions!$C$2:$C$26, "deposit", crypto_transactions!$J$2:$J$26, "completed", crypto_transactions!$L$2:$L$26, "&gt;="&amp;$P14, crypto_transactions!$L$2:$L$26, "&lt;"&amp;EDATE($P14, 1))</f>
        <v>1000</v>
      </c>
      <c r="R14" s="208">
        <f>SUMIFS(fiat_transactions!$E$2:$E$26, fiat_transactions!$D$2:$D$26, "USD", fiat_transactions!$C$2:$C$26, "withdrawal", fiat_transactions!$H$2:$H$26, "completed", fiat_transactions!$I$2:$I$26, "&gt;="&amp;$P14, fiat_transactions!$I$2:$I$26, "&lt;"&amp;EDATE($P14, 1)) + SUMIFS(crypto_transactions!$F$2:$F$26, crypto_transactions!$D$2:$D$26, "USDT", crypto_transactions!$C$2:$C$26, "withdrawal", crypto_transactions!$J$2:$J$26, "completed", crypto_transactions!$L$2:$L$26, "&gt;="&amp;$P14, crypto_transactions!$L$2:$L$26, "&lt;"&amp;EDATE($P14, 1))</f>
        <v>20</v>
      </c>
      <c r="S14" s="208">
        <f t="shared" si="1"/>
        <v>980</v>
      </c>
    </row>
    <row r="15" ht="15.0" customHeight="1">
      <c r="B15" s="37" t="s">
        <v>34</v>
      </c>
      <c r="C15" s="38" t="s">
        <v>25</v>
      </c>
      <c r="D15" s="45">
        <f>SUMIFS(fiat_transactions!$E$2:$E$26, fiat_transactions!$D$2:$D$26, "BRL", fiat_transactions!$C$2:$C$26, "deposit", fiat_transactions!$H$2:$H$26, "completed")</f>
        <v>2500</v>
      </c>
      <c r="E15" s="45">
        <f>SUMIFS(fiat_transactions!$E$2:$E$26, fiat_transactions!$D$2:$D$26, "BRL", fiat_transactions!$C$2:$C$26, "withdrawal", fiat_transactions!$H$2:$H$26, "completed")</f>
        <v>2500</v>
      </c>
      <c r="F15" s="45">
        <f t="shared" si="2"/>
        <v>0</v>
      </c>
      <c r="G15" s="40" t="str">
        <f t="shared" si="3"/>
        <v>⚪ 持平</v>
      </c>
      <c r="I15" s="37" t="s">
        <v>35</v>
      </c>
      <c r="J15" s="38" t="s">
        <v>36</v>
      </c>
      <c r="K15" s="41">
        <f>COUNTIF(fiat_transactions!G2:G26, "faster_payments")</f>
        <v>4</v>
      </c>
      <c r="L15" s="42">
        <f>COUNTIFS(fiat_transactions!G2:G26, "faster_payments", fiat_transactions!H2:H26, "completed") / K15</f>
        <v>0.75</v>
      </c>
      <c r="M15" s="42">
        <f t="shared" si="4"/>
        <v>0.25</v>
      </c>
      <c r="N15" s="43">
        <f>SUMIF(fiat_transactions!G2:G26, "faster_payments", fiat_transactions!F2:F26)</f>
        <v>2</v>
      </c>
      <c r="P15" s="207">
        <f>DATE(2025, 11, 1)</f>
        <v>45962</v>
      </c>
      <c r="Q15" s="208">
        <f>SUMIFS(fiat_transactions!$E$2:$E$26, fiat_transactions!$D$2:$D$26, "USD", fiat_transactions!$C$2:$C$26, "deposit", fiat_transactions!$H$2:$H$26, "completed", fiat_transactions!$I$2:$I$26, "&gt;="&amp;$P15, fiat_transactions!$I$2:$I$26, "&lt;"&amp;EDATE($P15, 1)) + SUMIFS(crypto_transactions!$F$2:$F$26, crypto_transactions!$D$2:$D$26, "USDT", crypto_transactions!$C$2:$C$26, "deposit", crypto_transactions!$J$2:$J$26, "completed", crypto_transactions!$L$2:$L$26, "&gt;="&amp;$P15, crypto_transactions!$L$2:$L$26, "&lt;"&amp;EDATE($P15, 1))</f>
        <v>0</v>
      </c>
      <c r="R15" s="208">
        <f>SUMIFS(fiat_transactions!$E$2:$E$26, fiat_transactions!$D$2:$D$26, "USD", fiat_transactions!$C$2:$C$26, "withdrawal", fiat_transactions!$H$2:$H$26, "completed", fiat_transactions!$I$2:$I$26, "&gt;="&amp;$P15, fiat_transactions!$I$2:$I$26, "&lt;"&amp;EDATE($P15, 1)) + SUMIFS(crypto_transactions!$F$2:$F$26, crypto_transactions!$D$2:$D$26, "USDT", crypto_transactions!$C$2:$C$26, "withdrawal", crypto_transactions!$J$2:$J$26, "completed", crypto_transactions!$L$2:$L$26, "&gt;="&amp;$P15, crypto_transactions!$L$2:$L$26, "&lt;"&amp;EDATE($P15, 1))</f>
        <v>300</v>
      </c>
      <c r="S15" s="208">
        <f t="shared" si="1"/>
        <v>-300</v>
      </c>
    </row>
    <row r="16" ht="15.0" customHeight="1">
      <c r="B16" s="30" t="s">
        <v>37</v>
      </c>
      <c r="C16" s="31" t="s">
        <v>25</v>
      </c>
      <c r="D16" s="46">
        <f>SUMIFS(fiat_transactions!$E$2:$E$26, fiat_transactions!$D$2:$D$26, "TRY", fiat_transactions!$C$2:$C$26, "deposit", fiat_transactions!$H$2:$H$26, "completed")</f>
        <v>15000</v>
      </c>
      <c r="E16" s="46">
        <f>SUMIFS(fiat_transactions!$E$2:$E$26, fiat_transactions!$D$2:$D$26, "TRY", fiat_transactions!$C$2:$C$26, "withdrawal", fiat_transactions!$H$2:$H$26, "completed")</f>
        <v>6000</v>
      </c>
      <c r="F16" s="46">
        <f t="shared" si="2"/>
        <v>9000</v>
      </c>
      <c r="G16" s="33" t="str">
        <f t="shared" si="3"/>
        <v>🟢 净流入</v>
      </c>
      <c r="I16" s="30" t="s">
        <v>38</v>
      </c>
      <c r="J16" s="31" t="s">
        <v>39</v>
      </c>
      <c r="K16" s="34">
        <f>COUNTIF(crypto_transactions!E2:E26, "TRON")</f>
        <v>11</v>
      </c>
      <c r="L16" s="35">
        <f>COUNTIFS(crypto_transactions!E2:E26, "TRON", crypto_transactions!J2:J26, "completed") / K16</f>
        <v>1</v>
      </c>
      <c r="M16" s="35">
        <f t="shared" si="4"/>
        <v>0</v>
      </c>
      <c r="N16" s="36">
        <f>SUMIF(crypto_transactions!E2:E26, "TRON", crypto_transactions!G2:G26)</f>
        <v>4</v>
      </c>
      <c r="P16" s="207">
        <f>DATE(2025, 12, 1)</f>
        <v>45992</v>
      </c>
      <c r="Q16" s="208">
        <f>SUMIFS(fiat_transactions!$E$2:$E$26, fiat_transactions!$D$2:$D$26, "USD", fiat_transactions!$C$2:$C$26, "deposit", fiat_transactions!$H$2:$H$26, "completed", fiat_transactions!$I$2:$I$26, "&gt;="&amp;$P16, fiat_transactions!$I$2:$I$26, "&lt;"&amp;EDATE($P16, 1)) + SUMIFS(crypto_transactions!$F$2:$F$26, crypto_transactions!$D$2:$D$26, "USDT", crypto_transactions!$C$2:$C$26, "deposit", crypto_transactions!$J$2:$J$26, "completed", crypto_transactions!$L$2:$L$26, "&gt;="&amp;$P16, crypto_transactions!$L$2:$L$26, "&lt;"&amp;EDATE($P16, 1))</f>
        <v>1000</v>
      </c>
      <c r="R16" s="208">
        <f>SUMIFS(fiat_transactions!$E$2:$E$26, fiat_transactions!$D$2:$D$26, "USD", fiat_transactions!$C$2:$C$26, "withdrawal", fiat_transactions!$H$2:$H$26, "completed", fiat_transactions!$I$2:$I$26, "&gt;="&amp;$P16, fiat_transactions!$I$2:$I$26, "&lt;"&amp;EDATE($P16, 1)) + SUMIFS(crypto_transactions!$F$2:$F$26, crypto_transactions!$D$2:$D$26, "USDT", crypto_transactions!$C$2:$C$26, "withdrawal", crypto_transactions!$J$2:$J$26, "completed", crypto_transactions!$L$2:$L$26, "&gt;="&amp;$P16, crypto_transactions!$L$2:$L$26, "&lt;"&amp;EDATE($P16, 1))</f>
        <v>1800</v>
      </c>
      <c r="S16" s="208">
        <f t="shared" si="1"/>
        <v>-800</v>
      </c>
    </row>
    <row r="17" ht="15.0" customHeight="1">
      <c r="B17" s="37" t="s">
        <v>40</v>
      </c>
      <c r="C17" s="38" t="s">
        <v>41</v>
      </c>
      <c r="D17" s="47">
        <f>SUMIFS(crypto_transactions!$F$2:$F$26, crypto_transactions!$D$2:$D$26, "USDT", crypto_transactions!$C$2:$C$26, "deposit", crypto_transactions!$J$2:$J$26, "completed")</f>
        <v>8000</v>
      </c>
      <c r="E17" s="47">
        <f>SUMIFS(crypto_transactions!$F$2:$F$26, crypto_transactions!$D$2:$D$26, "USDT", crypto_transactions!$C$2:$C$26, "withdrawal", crypto_transactions!$J$2:$J$26, "completed")</f>
        <v>5000</v>
      </c>
      <c r="F17" s="47">
        <f t="shared" si="2"/>
        <v>3000</v>
      </c>
      <c r="G17" s="40" t="str">
        <f t="shared" si="3"/>
        <v>🟢 净流入</v>
      </c>
      <c r="I17" s="37" t="s">
        <v>42</v>
      </c>
      <c r="J17" s="38" t="s">
        <v>43</v>
      </c>
      <c r="K17" s="41">
        <f>COUNTIF(crypto_transactions!E2:E26, "ETHEREUM")</f>
        <v>4</v>
      </c>
      <c r="L17" s="42">
        <f>COUNTIFS(crypto_transactions!E2:E26, "ETHEREUM", crypto_transactions!J2:J26, "completed") / K17</f>
        <v>1</v>
      </c>
      <c r="M17" s="42">
        <f t="shared" si="4"/>
        <v>0</v>
      </c>
      <c r="N17" s="43">
        <f>SUMIFS(crypto_transactions!G2:G26, crypto_transactions!E2:E26, "ETHEREUM", crypto_transactions!D2:D26, "USDT")</f>
        <v>5</v>
      </c>
    </row>
    <row r="18" ht="15.0" customHeight="1">
      <c r="B18" s="30" t="s">
        <v>44</v>
      </c>
      <c r="C18" s="31" t="s">
        <v>41</v>
      </c>
      <c r="D18" s="48">
        <f>SUMIFS(crypto_transactions!$F$2:$F$26, crypto_transactions!$D$2:$D$26, "BTC", crypto_transactions!$C$2:$C$26, "deposit", crypto_transactions!$J$2:$J$26, "completed")</f>
        <v>0.081</v>
      </c>
      <c r="E18" s="48">
        <f>SUMIFS(crypto_transactions!$F$2:$F$26, crypto_transactions!$D$2:$D$26, "BTC", crypto_transactions!$C$2:$C$26, "withdrawal", crypto_transactions!$J$2:$J$26, "completed")</f>
        <v>0.02</v>
      </c>
      <c r="F18" s="48">
        <f t="shared" si="2"/>
        <v>0.061</v>
      </c>
      <c r="G18" s="33" t="str">
        <f t="shared" si="3"/>
        <v>🟢 净流入</v>
      </c>
      <c r="I18" s="30" t="s">
        <v>45</v>
      </c>
      <c r="J18" s="31" t="s">
        <v>46</v>
      </c>
      <c r="K18" s="34">
        <f>COUNTIF(crypto_transactions!E2:E26, "BSC")</f>
        <v>4</v>
      </c>
      <c r="L18" s="35">
        <f>COUNTIFS(crypto_transactions!E2:E26, "BSC", crypto_transactions!J2:J26, "completed") / K18</f>
        <v>0.5</v>
      </c>
      <c r="M18" s="35">
        <f t="shared" si="4"/>
        <v>0.5</v>
      </c>
      <c r="N18" s="36">
        <f>SUMIF(crypto_transactions!E2:E26, "BSC", crypto_transactions!G2:G26)</f>
        <v>1.6</v>
      </c>
      <c r="P18" s="206" t="s">
        <v>47</v>
      </c>
    </row>
    <row r="19" ht="15.0" customHeight="1">
      <c r="B19" s="56" t="s">
        <v>48</v>
      </c>
      <c r="C19" s="57" t="s">
        <v>41</v>
      </c>
      <c r="D19" s="58">
        <f>SUMIFS(crypto_transactions!$F$2:$F$26, crypto_transactions!$D$2:$D$26, "ETH", crypto_transactions!$C$2:$C$26, "deposit", crypto_transactions!$J$2:$J$26, "completed")</f>
        <v>0.6</v>
      </c>
      <c r="E19" s="58">
        <f>SUMIFS(crypto_transactions!$F$2:$F$26, crypto_transactions!$D$2:$D$26, "ETH", crypto_transactions!$C$2:$C$26, "withdrawal", crypto_transactions!$J$2:$J$26, "completed")</f>
        <v>0.1</v>
      </c>
      <c r="F19" s="58">
        <f t="shared" si="2"/>
        <v>0.5</v>
      </c>
      <c r="G19" s="59" t="str">
        <f t="shared" si="3"/>
        <v>🟢 净流入</v>
      </c>
      <c r="I19" s="56" t="s">
        <v>49</v>
      </c>
      <c r="J19" s="57" t="s">
        <v>50</v>
      </c>
      <c r="K19" s="60">
        <f>COUNTIF(crypto_transactions!E2:E26, "ARBITRUM")</f>
        <v>2</v>
      </c>
      <c r="L19" s="61">
        <f>COUNTIFS(crypto_transactions!E2:E26, "ARBITRUM", crypto_transactions!J2:J26, "completed") / K19</f>
        <v>0.5</v>
      </c>
      <c r="M19" s="61">
        <f t="shared" si="4"/>
        <v>0.5</v>
      </c>
      <c r="N19" s="62">
        <f>SUMIF(crypto_transactions!E2:E26, "ARBITRUM", crypto_transactions!G2:G26)</f>
        <v>0.3</v>
      </c>
      <c r="P19" s="206" t="s">
        <v>51</v>
      </c>
      <c r="Q19" s="206" t="s">
        <v>4</v>
      </c>
      <c r="R19" s="206" t="s">
        <v>5</v>
      </c>
      <c r="S19" s="206" t="s">
        <v>52</v>
      </c>
    </row>
    <row r="20" ht="9.0" customHeight="1">
      <c r="P20" s="206" t="s">
        <v>38</v>
      </c>
      <c r="Q20" s="208">
        <f>SUMIFS(crypto_transactions!$F$2:$F$26, crypto_transactions!$E$2:$E$26, "TRON", crypto_transactions!$D$2:$D$26, "USDT", crypto_transactions!$C$2:$C$26, "deposit", crypto_transactions!$J$2:$J$26, "completed")</f>
        <v>7000</v>
      </c>
      <c r="R20" s="208">
        <f>SUMIFS(crypto_transactions!$F$2:$F$26, crypto_transactions!$E$2:$E$26, "TRON", crypto_transactions!$D$2:$D$26, "USDT", crypto_transactions!$C$2:$C$26, "withdrawal", crypto_transactions!$J$2:$J$26, "completed")</f>
        <v>3200</v>
      </c>
      <c r="S20" s="208">
        <f t="shared" ref="S20:S23" si="5">Q20-R20</f>
        <v>3800</v>
      </c>
    </row>
    <row r="21" ht="21.0" customHeight="1">
      <c r="B21" s="2" t="s">
        <v>53</v>
      </c>
      <c r="I21" s="2" t="s">
        <v>54</v>
      </c>
      <c r="P21" s="206" t="s">
        <v>42</v>
      </c>
      <c r="Q21" s="208">
        <f>SUMIFS(crypto_transactions!$F$2:$F$26, crypto_transactions!$E$2:$E$26, "ETHEREUM", crypto_transactions!$D$2:$D$26, "USDT", crypto_transactions!$C$2:$C$26, "deposit", crypto_transactions!$J$2:$J$26, "completed")</f>
        <v>0</v>
      </c>
      <c r="R21" s="208">
        <f>SUMIFS(crypto_transactions!$F$2:$F$26, crypto_transactions!$E$2:$E$26, "ETHEREUM", crypto_transactions!$D$2:$D$26, "USDT", crypto_transactions!$C$2:$C$26, "withdrawal", crypto_transactions!$J$2:$J$26, "completed")</f>
        <v>1500</v>
      </c>
      <c r="S21" s="208">
        <f t="shared" si="5"/>
        <v>-1500</v>
      </c>
    </row>
    <row r="22" ht="16.5" customHeight="1">
      <c r="P22" s="206" t="s">
        <v>45</v>
      </c>
      <c r="Q22" s="208">
        <f>SUMIFS(crypto_transactions!$F$2:$F$26, crypto_transactions!$E$2:$E$26, "BSC", crypto_transactions!$D$2:$D$26, "USDT", crypto_transactions!$C$2:$C$26, "deposit", crypto_transactions!$J$2:$J$26, "completed")</f>
        <v>600</v>
      </c>
      <c r="R22" s="208">
        <f>SUMIFS(crypto_transactions!$F$2:$F$26, crypto_transactions!$E$2:$E$26, "BSC", crypto_transactions!$D$2:$D$26, "USDT", crypto_transactions!$C$2:$C$26, "withdrawal", crypto_transactions!$J$2:$J$26, "completed")</f>
        <v>300</v>
      </c>
      <c r="S22" s="208">
        <f t="shared" si="5"/>
        <v>300</v>
      </c>
    </row>
    <row r="23" ht="16.5" customHeight="1">
      <c r="P23" s="206" t="s">
        <v>49</v>
      </c>
      <c r="Q23" s="208">
        <f>SUMIFS(crypto_transactions!$F$2:$F$26, crypto_transactions!$E$2:$E$26, "ARBITRUM", crypto_transactions!$D$2:$D$26, "USDT", crypto_transactions!$C$2:$C$26, "deposit", crypto_transactions!$J$2:$J$26, "completed")</f>
        <v>400</v>
      </c>
      <c r="R23" s="208">
        <f>SUMIFS(crypto_transactions!$F$2:$F$26, crypto_transactions!$E$2:$E$26, "ARBITRUM", crypto_transactions!$D$2:$D$26, "USDT", crypto_transactions!$C$2:$C$26, "withdrawal", crypto_transactions!$J$2:$J$26, "completed")</f>
        <v>0</v>
      </c>
      <c r="S23" s="208">
        <f t="shared" si="5"/>
        <v>400</v>
      </c>
    </row>
    <row r="24" ht="16.5" customHeight="1">
      <c r="P24" s="206" t="s">
        <v>536</v>
      </c>
      <c r="Q24" s="208">
        <f t="shared" ref="Q24:S24" si="6">SUM(Q20:Q23)</f>
        <v>8000</v>
      </c>
      <c r="R24" s="208">
        <f t="shared" si="6"/>
        <v>5000</v>
      </c>
      <c r="S24" s="208">
        <f t="shared" si="6"/>
        <v>3000</v>
      </c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9.0" customHeight="1"/>
    <row r="35" ht="21.0" customHeight="1">
      <c r="B35" s="71" t="s">
        <v>64</v>
      </c>
      <c r="C35" s="24"/>
      <c r="D35" s="24"/>
      <c r="E35" s="24"/>
      <c r="F35" s="24"/>
      <c r="G35" s="25"/>
      <c r="I35" s="72" t="s">
        <v>65</v>
      </c>
      <c r="J35" s="24"/>
      <c r="K35" s="24"/>
      <c r="L35" s="24"/>
      <c r="M35" s="24"/>
      <c r="N35" s="25"/>
    </row>
    <row r="36" ht="18.0" customHeight="1">
      <c r="B36" s="73" t="s">
        <v>66</v>
      </c>
      <c r="C36" s="74" t="s">
        <v>67</v>
      </c>
      <c r="D36" s="74" t="s">
        <v>68</v>
      </c>
      <c r="E36" s="74" t="s">
        <v>69</v>
      </c>
      <c r="F36" s="74" t="s">
        <v>70</v>
      </c>
      <c r="G36" s="75" t="s">
        <v>71</v>
      </c>
      <c r="I36" s="76" t="s">
        <v>72</v>
      </c>
      <c r="J36" s="77" t="s">
        <v>73</v>
      </c>
      <c r="K36" s="77" t="s">
        <v>68</v>
      </c>
      <c r="L36" s="77" t="s">
        <v>69</v>
      </c>
      <c r="M36" s="77" t="s">
        <v>74</v>
      </c>
      <c r="N36" s="78" t="s">
        <v>75</v>
      </c>
    </row>
    <row r="37" ht="16.5" customHeight="1">
      <c r="B37" s="79" t="s">
        <v>76</v>
      </c>
      <c r="C37" s="80" t="s">
        <v>77</v>
      </c>
      <c r="D37" s="80" t="s">
        <v>78</v>
      </c>
      <c r="E37" s="80" t="s">
        <v>79</v>
      </c>
      <c r="F37" s="80" t="s">
        <v>80</v>
      </c>
      <c r="G37" s="212" t="s">
        <v>81</v>
      </c>
      <c r="H37" s="83"/>
      <c r="I37" s="79" t="s">
        <v>82</v>
      </c>
      <c r="J37" s="80" t="s">
        <v>49</v>
      </c>
      <c r="K37" s="80" t="s">
        <v>83</v>
      </c>
      <c r="L37" s="80" t="s">
        <v>84</v>
      </c>
      <c r="M37" s="80" t="s">
        <v>85</v>
      </c>
      <c r="N37" s="212" t="s">
        <v>86</v>
      </c>
    </row>
    <row r="38" ht="16.5" customHeight="1">
      <c r="B38" s="79" t="s">
        <v>76</v>
      </c>
      <c r="C38" s="80" t="s">
        <v>77</v>
      </c>
      <c r="D38" s="80" t="s">
        <v>89</v>
      </c>
      <c r="E38" s="80" t="s">
        <v>90</v>
      </c>
      <c r="F38" s="80" t="s">
        <v>91</v>
      </c>
      <c r="G38" s="212" t="s">
        <v>92</v>
      </c>
      <c r="H38" s="83"/>
      <c r="I38" s="79" t="s">
        <v>93</v>
      </c>
      <c r="J38" s="80" t="s">
        <v>45</v>
      </c>
      <c r="K38" s="80" t="s">
        <v>94</v>
      </c>
      <c r="L38" s="80" t="s">
        <v>95</v>
      </c>
      <c r="M38" s="80" t="s">
        <v>96</v>
      </c>
      <c r="N38" s="212" t="s">
        <v>97</v>
      </c>
    </row>
    <row r="39" ht="16.5" customHeight="1">
      <c r="B39" s="79" t="s">
        <v>98</v>
      </c>
      <c r="C39" s="80" t="s">
        <v>99</v>
      </c>
      <c r="D39" s="80" t="s">
        <v>100</v>
      </c>
      <c r="E39" s="80" t="s">
        <v>101</v>
      </c>
      <c r="F39" s="80" t="s">
        <v>102</v>
      </c>
      <c r="G39" s="212" t="s">
        <v>103</v>
      </c>
      <c r="H39" s="83"/>
      <c r="I39" s="79" t="s">
        <v>104</v>
      </c>
      <c r="J39" s="80" t="s">
        <v>26</v>
      </c>
      <c r="K39" s="80" t="s">
        <v>105</v>
      </c>
      <c r="L39" s="80" t="s">
        <v>106</v>
      </c>
      <c r="M39" s="80" t="s">
        <v>107</v>
      </c>
      <c r="N39" s="212" t="s">
        <v>108</v>
      </c>
    </row>
    <row r="40" ht="16.5" customHeight="1">
      <c r="B40" s="79" t="s">
        <v>109</v>
      </c>
      <c r="C40" s="80" t="s">
        <v>110</v>
      </c>
      <c r="D40" s="80" t="s">
        <v>111</v>
      </c>
      <c r="E40" s="80" t="s">
        <v>112</v>
      </c>
      <c r="F40" s="80" t="s">
        <v>113</v>
      </c>
      <c r="G40" s="212" t="s">
        <v>114</v>
      </c>
      <c r="H40" s="83"/>
      <c r="I40" s="79" t="s">
        <v>115</v>
      </c>
      <c r="J40" s="80" t="s">
        <v>45</v>
      </c>
      <c r="K40" s="80" t="s">
        <v>116</v>
      </c>
      <c r="L40" s="80" t="s">
        <v>117</v>
      </c>
      <c r="M40" s="80" t="s">
        <v>118</v>
      </c>
      <c r="N40" s="212" t="s">
        <v>119</v>
      </c>
    </row>
    <row r="41" ht="16.5" customHeight="1">
      <c r="B41" s="87"/>
      <c r="C41" s="88"/>
      <c r="D41" s="88"/>
      <c r="E41" s="88"/>
      <c r="F41" s="88"/>
      <c r="G41" s="89"/>
      <c r="H41" s="83"/>
      <c r="I41" s="87"/>
      <c r="J41" s="88"/>
      <c r="K41" s="88"/>
      <c r="L41" s="88"/>
      <c r="M41" s="88"/>
      <c r="N41" s="89"/>
    </row>
    <row r="42" ht="12.0" customHeight="1"/>
    <row r="44" ht="18.75" customHeight="1"/>
  </sheetData>
  <mergeCells count="24">
    <mergeCell ref="B6:D6"/>
    <mergeCell ref="B7:D7"/>
    <mergeCell ref="E7:G7"/>
    <mergeCell ref="B8:D8"/>
    <mergeCell ref="E8:G8"/>
    <mergeCell ref="B10:G10"/>
    <mergeCell ref="B21:G21"/>
    <mergeCell ref="B35:G35"/>
    <mergeCell ref="B2:N2"/>
    <mergeCell ref="B3:N3"/>
    <mergeCell ref="B5:D5"/>
    <mergeCell ref="E5:G5"/>
    <mergeCell ref="L5:N5"/>
    <mergeCell ref="E6:G6"/>
    <mergeCell ref="L6:N6"/>
    <mergeCell ref="I21:N21"/>
    <mergeCell ref="I35:N35"/>
    <mergeCell ref="I5:K5"/>
    <mergeCell ref="I6:K6"/>
    <mergeCell ref="I7:K7"/>
    <mergeCell ref="L7:N7"/>
    <mergeCell ref="I8:K8"/>
    <mergeCell ref="L8:N8"/>
    <mergeCell ref="I10:N10"/>
  </mergeCells>
  <drawing r:id="rId1"/>
</worksheet>
</file>